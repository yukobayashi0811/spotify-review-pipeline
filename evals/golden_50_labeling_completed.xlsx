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en 50" sheetId="1" r:id="rId4"/>
    <sheet state="visible" name="Guide" sheetId="2" r:id="rId5"/>
  </sheets>
  <definedNames/>
  <calcPr/>
  <extLst>
    <ext uri="GoogleSheetsCustomDataVersion2">
      <go:sheetsCustomData xmlns:go="http://customooxmlschemas.google.com/" r:id="rId6" roundtripDataChecksum="wXLoReMSUlpjq/FkLdgKAjVzKMeCfOOstVVRW91/qwc="/>
    </ext>
  </extLst>
</workbook>
</file>

<file path=xl/sharedStrings.xml><?xml version="1.0" encoding="utf-8"?>
<sst xmlns="http://schemas.openxmlformats.org/spreadsheetml/2006/main" count="530" uniqueCount="356">
  <si>
    <t>Golden 50 human labeling guide</t>
  </si>
  <si>
    <t>Spotify golden set — 50 human labels</t>
  </si>
  <si>
    <t>目的</t>
  </si>
  <si>
    <t>この50件はモデル品質を測る独立した正解データです。ラベルは自分で判断し、予測結果を先に見ないでください。</t>
  </si>
  <si>
    <t>手順</t>
  </si>
  <si>
    <t>Complete rows</t>
  </si>
  <si>
    <t>操作</t>
  </si>
  <si>
    <t>理由</t>
  </si>
  <si>
    <t>完了条件</t>
  </si>
  <si>
    <t>Golden 50シートでreview_textだけを読む</t>
  </si>
  <si>
    <t>星・likes・versionを根拠にラベルを推測しない</t>
  </si>
  <si>
    <t>50件すべてを確認</t>
  </si>
  <si>
    <t>黄色の7項目を人手で入力する</t>
  </si>
  <si>
    <t>人間の正解ラベルを作る</t>
  </si>
  <si>
    <t>空欄なし</t>
  </si>
  <si>
    <t>evidence_quoteは本文からそのままコピーする</t>
  </si>
  <si>
    <t>完全一致の部分文字列が必要</t>
  </si>
  <si>
    <t>row_checkがComplete</t>
  </si>
  <si>
    <t>曖昧または影響不明ならneeds_review=true</t>
  </si>
  <si>
    <t>不足情報を作り足さない</t>
  </si>
  <si>
    <t>true/falseを選択</t>
  </si>
  <si>
    <t>entitiesはJSON配列で入力する</t>
  </si>
  <si>
    <t>明示された機能・端末・プラットフォーム・コンテンツだけ</t>
  </si>
  <si>
    <t>例: [] または ["lyrics"]</t>
  </si>
  <si>
    <t>50/50になったら保存してCodexへ戻す</t>
  </si>
  <si>
    <t>予測は保存後に別工程で作成・比較する</t>
  </si>
  <si>
    <t>Ready for scoring = YES</t>
  </si>
  <si>
    <t>Needs attention</t>
  </si>
  <si>
    <t>Not started</t>
  </si>
  <si>
    <t>項目</t>
  </si>
  <si>
    <t>使用できる値</t>
  </si>
  <si>
    <t>判断基準</t>
  </si>
  <si>
    <t>Ready for scoring</t>
  </si>
  <si>
    <t>例</t>
  </si>
  <si>
    <t>topic</t>
  </si>
  <si>
    <t>access</t>
  </si>
  <si>
    <t>login、signup、password、account access</t>
  </si>
  <si>
    <t>I cannot sign in</t>
  </si>
  <si>
    <t>usability</t>
  </si>
  <si>
    <t>navigation、controls、layout、queue、playlist、ads</t>
  </si>
  <si>
    <t>Queue controls are hard to find</t>
  </si>
  <si>
    <t>playback</t>
  </si>
  <si>
    <t>再生失敗、crash、lag、connection、audio、resource use</t>
  </si>
  <si>
    <t>Every song stops</t>
  </si>
  <si>
    <t>downloads</t>
  </si>
  <si>
    <t>downloads、saved music、offline、消えたdownload</t>
  </si>
  <si>
    <t>Downloaded songs vanished</t>
  </si>
  <si>
    <t>catalog</t>
  </si>
  <si>
    <t>missing content、search、discovery、recommendations、lyrics</t>
  </si>
  <si>
    <t>Lyrics are missing</t>
  </si>
  <si>
    <t>billing</t>
  </si>
  <si>
    <t>price、charge、subscription、paywall、premium entitlement</t>
  </si>
  <si>
    <t>Paid but Premium did not activate</t>
  </si>
  <si>
    <t>review_id</t>
  </si>
  <si>
    <t>support</t>
  </si>
  <si>
    <t>supportへの連絡または対応</t>
  </si>
  <si>
    <t>Support has not answered</t>
  </si>
  <si>
    <t>other</t>
  </si>
  <si>
    <t>一般的な賞賛・不満、無関係、特定topicなし</t>
  </si>
  <si>
    <t>Great app</t>
  </si>
  <si>
    <t>review_text</t>
  </si>
  <si>
    <t>intent</t>
  </si>
  <si>
    <t>cancellation</t>
  </si>
  <si>
    <t>明示的にleave、uninstall、cancel、またはその予告</t>
  </si>
  <si>
    <t>review_rating</t>
  </si>
  <si>
    <t>I am cancelling</t>
  </si>
  <si>
    <t>review_likes</t>
  </si>
  <si>
    <t>app_version</t>
  </si>
  <si>
    <t>complaint</t>
  </si>
  <si>
    <t>review_timestamp</t>
  </si>
  <si>
    <t>否定的な経験。賞賛と混在してもcomplaint</t>
  </si>
  <si>
    <t>Playback keeps stopping</t>
  </si>
  <si>
    <t>sentiment</t>
  </si>
  <si>
    <t>request</t>
  </si>
  <si>
    <t>不具合報告なしの改善要望</t>
  </si>
  <si>
    <t>severity</t>
  </si>
  <si>
    <t>Please add a sleep timer</t>
  </si>
  <si>
    <t>entities</t>
  </si>
  <si>
    <t>evidence_quote</t>
  </si>
  <si>
    <t>praise</t>
  </si>
  <si>
    <t>上位intentのない肯定的経験</t>
  </si>
  <si>
    <t>I love this app</t>
  </si>
  <si>
    <t>292ce26a-815d-4bce-a3b6-93cb6c9e7e2c</t>
  </si>
  <si>
    <t>unclear</t>
  </si>
  <si>
    <t>無関係・意味不明・裏付け不能</t>
  </si>
  <si>
    <t>Unsupported slogan</t>
  </si>
  <si>
    <t>1</t>
  </si>
  <si>
    <t>問題なし、賞賛、中立・不明、純粋な機能要望</t>
  </si>
  <si>
    <t>Staff must be full of mentally ill kool-aid heads. Banning conservative music that speaks truth. Spotify is doing all they can to protect pedophiles, by banning Christian songs discussing the path the devil leads you down. Pride is a sin.</t>
  </si>
  <si>
    <t>Request only</t>
  </si>
  <si>
    <t>2</t>
  </si>
  <si>
    <t>機能損失のない軽い不満・一般的批判・見た目の問題</t>
  </si>
  <si>
    <t>Minor annoyance</t>
  </si>
  <si>
    <t>3</t>
  </si>
  <si>
    <t>8.7.40.777</t>
  </si>
  <si>
    <t>機能が低下・制限されるが一部利用または回避策あり</t>
  </si>
  <si>
    <t>Works after retry</t>
  </si>
  <si>
    <t>2022-06-21 20:13:46</t>
  </si>
  <si>
    <t>4</t>
  </si>
  <si>
    <t>loginやmusic playbackなど主要タスクが明確に不可能</t>
  </si>
  <si>
    <t>Cannot play any song</t>
  </si>
  <si>
    <t>5</t>
  </si>
  <si>
    <t>明示的で重大な金銭・privacy・data被害</t>
  </si>
  <si>
    <t>Unauthorized charge</t>
  </si>
  <si>
    <t>-1.0～1.0（0.1刻み）</t>
  </si>
  <si>
    <t>本文だけから評価。負=-1.0、中立=0.0、正=1.0</t>
  </si>
  <si>
    <t>-0.6</t>
  </si>
  <si>
    <t>JSON array</t>
  </si>
  <si>
    <t>本文に明示された機能・端末・platform・contentだけ</t>
  </si>
  <si>
    <t>[] / ["lyrics"]</t>
  </si>
  <si>
    <t>本文の完全一致部分</t>
  </si>
  <si>
    <t>選択したラベルを支える箇所。短文は全文可</t>
  </si>
  <si>
    <t>Cannot sign in</t>
  </si>
  <si>
    <t>needs_review</t>
  </si>
  <si>
    <t>["Christian songs"]</t>
  </si>
  <si>
    <t>true / false</t>
  </si>
  <si>
    <t>曖昧、影響不明、判断に不足情報がある場合true</t>
  </si>
  <si>
    <t>true</t>
  </si>
  <si>
    <t>Banning conservative music that speaks truth.</t>
  </si>
  <si>
    <t>a70e8d3e-3f84-46bc-b008-67f476c67963</t>
  </si>
  <si>
    <t>Great app use it every chance I get</t>
  </si>
  <si>
    <t>重要</t>
  </si>
  <si>
    <t>8.8.66.563</t>
  </si>
  <si>
    <t>2023-09-24 21:01:09</t>
  </si>
  <si>
    <t>同じレビューに複数の問題がある場合、最もseverityが高い具体的問題をtopicにする。同点なら最初に書かれた具体的問題を選ぶ。</t>
  </si>
  <si>
    <t>Intent precedence: cancellation &gt; complaint &gt; request &gt; praise &gt; unclear</t>
  </si>
  <si>
    <t>Stars、怒り、価格、crash、cancellationだけではseverityを引き上げない。</t>
  </si>
  <si>
    <t>[]</t>
  </si>
  <si>
    <t>0d4f8b48-74c1-4e2a-89b5-11eaa737027e</t>
  </si>
  <si>
    <t>It's really an amazing experience with Spotify...I love it🥰</t>
  </si>
  <si>
    <t>Source files</t>
  </si>
  <si>
    <t>8.8.68.565</t>
  </si>
  <si>
    <t>2023-09-28 08:06:22</t>
  </si>
  <si>
    <t>evals/golden_50_to_label.csv</t>
  </si>
  <si>
    <t>config/labels.md</t>
  </si>
  <si>
    <t>docs/source_spec/GRADING_CONTRACT.md</t>
  </si>
  <si>
    <t>It's really an amazing experience with Spotify</t>
  </si>
  <si>
    <t>991b6b3a-f511-458a-a5b7-234f78048fb5</t>
  </si>
  <si>
    <t>Ads were okay, but limited functionality..it's just too much</t>
  </si>
  <si>
    <t>8.8.76.667</t>
  </si>
  <si>
    <t>2023-10-14 05:58:07</t>
  </si>
  <si>
    <t>["Ads", "functionality"]</t>
  </si>
  <si>
    <t>limited functionality</t>
  </si>
  <si>
    <t>599a0d41-989a-40ef-8ed2-e92db76eea46</t>
  </si>
  <si>
    <t>I just loved it</t>
  </si>
  <si>
    <t>8.8.6.472</t>
  </si>
  <si>
    <t>2023-02-05 00:50:53</t>
  </si>
  <si>
    <t>0c6ca545-3f89-4da6-b3db-1a352371fb6e</t>
  </si>
  <si>
    <t>Hate this application 🤮🤮🤮🤮🤮🤮</t>
  </si>
  <si>
    <t>2023-07-07 22:13:54</t>
  </si>
  <si>
    <t>Hate this application</t>
  </si>
  <si>
    <t>111f9048-f7bd-4be0-813e-76b8fc49f73f</t>
  </si>
  <si>
    <t>Excellent</t>
  </si>
  <si>
    <t>8.7.78.373</t>
  </si>
  <si>
    <t>2022-11-13 18:52:23</t>
  </si>
  <si>
    <t>b567f70c-edba-4922-ac2a-e945e5eb3472</t>
  </si>
  <si>
    <t>good ❤❤🔊🔊</t>
  </si>
  <si>
    <t>2022-06-24 23:34:51</t>
  </si>
  <si>
    <t>good</t>
  </si>
  <si>
    <t>b5ee7834-a0eb-4c15-9c7b-935831021922</t>
  </si>
  <si>
    <t>Spotify is awesome and and very diverse :)</t>
  </si>
  <si>
    <t>8.8.74.652</t>
  </si>
  <si>
    <t>2023-09-29 15:18:24</t>
  </si>
  <si>
    <t>very diverse</t>
  </si>
  <si>
    <t>1fc8b08f-7d6a-472f-b317-8ceb28d00f22</t>
  </si>
  <si>
    <t>Duo Premium .... No ads at all!</t>
  </si>
  <si>
    <t>8.7.68.568</t>
  </si>
  <si>
    <t>2022-09-26 16:32:29</t>
  </si>
  <si>
    <t>["Duo Premium","ads"]</t>
  </si>
  <si>
    <t>947821dc-b356-45dc-a0bc-1903728fad40</t>
  </si>
  <si>
    <t>Very good but wen I play my song it o ly plays a little bit then it stops I updated my phone and it worked but it happend again they need to fix this issue</t>
  </si>
  <si>
    <t>8.7.56.421</t>
  </si>
  <si>
    <t>2022-08-16 23:36:02</t>
  </si>
  <si>
    <t>["phone"]</t>
  </si>
  <si>
    <t>it o ly plays a little bit then it stops</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</si>
  <si>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</si>
  <si>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</si>
  <si>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8.8.58.473</t>
  </si>
  <si>
    <t>2023-08-06 01:09:49</t>
  </si>
  <si>
    <t>["Spotify Support"]</t>
  </si>
  <si>
    <t>it keeps crashing every time</t>
  </si>
  <si>
    <t>47428620-ec21-424d-a515-0b0b0012a5cf</t>
  </si>
  <si>
    <t>This app is bad work</t>
  </si>
  <si>
    <t>2023-03-14 03:56:43</t>
  </si>
  <si>
    <t>fc344263-308d-48a1-9715-c380d063b6de</t>
  </si>
  <si>
    <t>Great...</t>
  </si>
  <si>
    <t>8.8.2.434</t>
  </si>
  <si>
    <t>2023-02-10 18:26:42</t>
  </si>
  <si>
    <t>Great</t>
  </si>
  <si>
    <t>6112667b-3d71-475c-b1a4-159b87f73d2b</t>
  </si>
  <si>
    <t>Super</t>
  </si>
  <si>
    <t>2022-05-31 10:50:59</t>
  </si>
  <si>
    <t>01d453b0-dca3-42e9-8aa4-5fc167b08070</t>
  </si>
  <si>
    <t>I like it but god I hate it when the music Interrupts my ads</t>
  </si>
  <si>
    <t>8.8.62.491</t>
  </si>
  <si>
    <t>2023-08-18 10:10:02</t>
  </si>
  <si>
    <t>["ads"]</t>
  </si>
  <si>
    <t>I hate it when the music Interrupts my ads</t>
  </si>
  <si>
    <t>ac6cd66d-a9d2-42a4-afb8-2f84beff7fd1</t>
  </si>
  <si>
    <t>Lhat ng song nasa spotify</t>
  </si>
  <si>
    <t>2023-03-26 16:32:33</t>
  </si>
  <si>
    <t>44129679-31a0-4108-9314-086a3456f6ae</t>
  </si>
  <si>
    <t>Avtar sungh</t>
  </si>
  <si>
    <t>8.8.80.599</t>
  </si>
  <si>
    <t>2023-11-06 22:32:23</t>
  </si>
  <si>
    <t>["Avtar sungh"]</t>
  </si>
  <si>
    <t>46842184-32f8-4088-ac15-2a700a7e94ed</t>
  </si>
  <si>
    <t>asem, lirik nya kdang gaada kek mana??</t>
  </si>
  <si>
    <t>8.7.30.1221</t>
  </si>
  <si>
    <t>2023-09-29 15:11:18</t>
  </si>
  <si>
    <t>["lirik"]</t>
  </si>
  <si>
    <t>lirik nya kdang gaada</t>
  </si>
  <si>
    <t>657f1b77-0183-4b06-bf48-5e6d9ab08f9a</t>
  </si>
  <si>
    <t>Hate This application 👎</t>
  </si>
  <si>
    <t>2023-07-07 05:06:07</t>
  </si>
  <si>
    <t>Hate This application</t>
  </si>
  <si>
    <t>5de7f95b-ccad-41b2-9f63-a13f7c1d9f09</t>
  </si>
  <si>
    <t>We are boycotting Swedish app in our protest against Sweden for their desrecpect &amp; desceration of our holy book Qur'an</t>
  </si>
  <si>
    <t>8.8.40.470</t>
  </si>
  <si>
    <t>2023-07-08 12:37:12</t>
  </si>
  <si>
    <t>["Qur'an"]</t>
  </si>
  <si>
    <t>We are boycotting Swedish app</t>
  </si>
  <si>
    <t>de48c99b-46fe-4837-8634-e63dbc72a5ea</t>
  </si>
  <si>
    <t>I LOVE that I was able to put in only a few songs I like and Spotify gave me recommendations for an AWESOME Playlist...!!!</t>
  </si>
  <si>
    <t>8.7.54.403</t>
  </si>
  <si>
    <t>2022-08-11 16:19:47</t>
  </si>
  <si>
    <t>["recommendations","Playlist"]</t>
  </si>
  <si>
    <t>Spotify gave me recommendations for an AWESOME Playlist</t>
  </si>
  <si>
    <t>aa573851-0b86-4b1b-adf6-210268c08d2a</t>
  </si>
  <si>
    <t>I absolutely love Spotify, to me is one of the best Music Apps. Great job Spotify!!!</t>
  </si>
  <si>
    <t>2023-08-25 00:58:54</t>
  </si>
  <si>
    <t>I absolutely love Spotify</t>
  </si>
  <si>
    <t>372d4e67-59cc-4c54-879f-3e8a202ee554</t>
  </si>
  <si>
    <t>Please ye ads ko thoda kumm Karo harr ek song ke baad ad 🙏🙄</t>
  </si>
  <si>
    <t>8.6.74.1176</t>
  </si>
  <si>
    <t>2022-12-05 07:47:16</t>
  </si>
  <si>
    <t>harr ek song ke baad ad</t>
  </si>
  <si>
    <t>47f1406d-4918-4d60-9647-5ca8e610caca</t>
  </si>
  <si>
    <t>Very poor updates as we cannot playback the songs and most bad updates are happening it is affecting the spotify quality</t>
  </si>
  <si>
    <t>8.8.70.532</t>
  </si>
  <si>
    <t>2023-09-21 07:14:22</t>
  </si>
  <si>
    <t>we cannot playback the songs</t>
  </si>
  <si>
    <t>82780cbe-6435-4efb-84f6-8e5fa47ffc3a</t>
  </si>
  <si>
    <t>Awesomeness 👌 👏 👍 😍 💖</t>
  </si>
  <si>
    <t>2022-09-29 08:28:34</t>
  </si>
  <si>
    <t>Awesomeness</t>
  </si>
  <si>
    <t>36609c5c-fe48-4459-86b8-cc78fd3c77cd</t>
  </si>
  <si>
    <t>Bheekhmangon</t>
  </si>
  <si>
    <t>2023-10-10 07:52:54</t>
  </si>
  <si>
    <t>f4c8146a-d5c8-4168-b00e-21af666afc6a</t>
  </si>
  <si>
    <t>Unconditional love, Stoli Canales</t>
  </si>
  <si>
    <t>2023-01-20 20:40:02</t>
  </si>
  <si>
    <t>["Unconditional love","Stoli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</si>
  <si>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</si>
  <si>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</si>
  <si>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2023-09-12 00:53:14</t>
  </si>
  <si>
    <t>["shuffle","Premium subscription"]</t>
  </si>
  <si>
    <t>we can't choose our fvrt songs after some clicks</t>
  </si>
  <si>
    <t>16d640e9-b281-4746-9562-c7dbcf7126b6</t>
  </si>
  <si>
    <t>It's my best music app but now it's not...everything basic features is premium....</t>
  </si>
  <si>
    <t>8.8.78.587</t>
  </si>
  <si>
    <t>2023-10-17 23:20:17</t>
  </si>
  <si>
    <t>["premium"]</t>
  </si>
  <si>
    <t>everything basic features is premium</t>
  </si>
  <si>
    <t>8cc4fad4-26ec-47b7-96e8-49c7da714eca</t>
  </si>
  <si>
    <t>I hate this app and sweden .I love islam</t>
  </si>
  <si>
    <t>2023-07-10 06:07:03</t>
  </si>
  <si>
    <t>I hate this app and sweden</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</si>
  <si>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</si>
  <si>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</si>
  <si>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8.7.90.544</t>
  </si>
  <si>
    <t>2022-12-10 08:06:48</t>
  </si>
  <si>
    <t>I'm trying to play a song but it doesn't working.</t>
  </si>
  <si>
    <t>46c0b49f-83a1-427e-8f0b-cef62e3c94b5</t>
  </si>
  <si>
    <t>Are you out of your mind? This is dangerous! Listening to music in a normal volume and suddenly an add starts and my ears feel like they explode!! Stop this BS, or you're gonna destroy someones ears.</t>
  </si>
  <si>
    <t>8.8.54.481</t>
  </si>
  <si>
    <t>2023-07-19 16:15:07</t>
  </si>
  <si>
    <t>suddenly an add starts and my ears feel like they explode</t>
  </si>
  <si>
    <t>283b5843-a992-464f-b1dc-9dc7281ff390</t>
  </si>
  <si>
    <t>Beth, we all got to give me a free dollar to go with 3 months, bro I can't be like</t>
  </si>
  <si>
    <t>8.8.26.408</t>
  </si>
  <si>
    <t>2023-05-29 00:28:41</t>
  </si>
  <si>
    <t>Beth, we all got to give me a free dollar to go with 3 months</t>
  </si>
  <si>
    <t>1d15724a-98ff-400a-8083-0d9afc801098</t>
  </si>
  <si>
    <t>Good</t>
  </si>
  <si>
    <t>8.7.52.1010</t>
  </si>
  <si>
    <t>2022-08-07 00:10:55</t>
  </si>
  <si>
    <t>89ea724c-358f-48ab-9516-cd130d21c471</t>
  </si>
  <si>
    <t>Good app!</t>
  </si>
  <si>
    <t>2022-08-08 12:41:08</t>
  </si>
  <si>
    <t>2aa566c6-b98d-4513-b900-83702a8db8eb</t>
  </si>
  <si>
    <t>Nice app, very less advertising</t>
  </si>
  <si>
    <t>8.8.28.409</t>
  </si>
  <si>
    <t>2023-04-29 08:28:55</t>
  </si>
  <si>
    <t>["advertising"]</t>
  </si>
  <si>
    <t>very less advertising</t>
  </si>
  <si>
    <t>8c0546b0-ce43-4a36-9d33-9f979e98d522</t>
  </si>
  <si>
    <t>1-Lyrics not getting loaded, 2-can't go back to or start song where to wanted. Pathetic update</t>
  </si>
  <si>
    <t>2023-10-17 05:47:34</t>
  </si>
  <si>
    <t>["Lyrics"]</t>
  </si>
  <si>
    <t>Lyrics not getting loaded</t>
  </si>
  <si>
    <t>a972945c-6601-4108-882a-afe986866a7b</t>
  </si>
  <si>
    <t>Phenomenal</t>
  </si>
  <si>
    <t>2023-10-30 17:47:51</t>
  </si>
  <si>
    <t>8fd3dd72-5535-40f6-8779-1bd60892131e</t>
  </si>
  <si>
    <t>8.7.48.1062</t>
  </si>
  <si>
    <t>2022-07-26 10:24:26</t>
  </si>
  <si>
    <t>b58dd6f0-ad88-4319-b6db-58afb60c37c1</t>
  </si>
  <si>
    <t>The only thing Spotify lacks is the ability to organize saved 
albums/artists into collections. Would definitely deserve 5 stars if it 
included this feature.</t>
  </si>
  <si>
    <t>8.7.44.968</t>
  </si>
  <si>
    <t>2022-07-07 17:04:53</t>
  </si>
  <si>
    <t>["saved albums","artists","collections"]</t>
  </si>
  <si>
    <t>the ability to organize saved 
albums/artists into collections</t>
  </si>
  <si>
    <t>1a41c7e1-a655-4c63-b4db-c22bdff18003</t>
  </si>
  <si>
    <t>Worst application 👎👎👎</t>
  </si>
  <si>
    <t>2023-07-07 11:45:16</t>
  </si>
  <si>
    <t>Worst application</t>
  </si>
  <si>
    <t>dceb14e7-2df0-422f-bb2b-73d7c373159a</t>
  </si>
  <si>
    <t>I gave one star because I can't give any less than that. the new update is sooooooo annoying like I can't even play the songs that I like and I can't rewind songs what the heck</t>
  </si>
  <si>
    <t>2023-10-18 09:38:13</t>
  </si>
  <si>
    <t>["rewind"]</t>
  </si>
  <si>
    <t>I can't even play the songs that I like</t>
  </si>
  <si>
    <t>5fba12ea-4980-4f25-a129-f830a3974fd2</t>
  </si>
  <si>
    <t>I find Spotify very good, it finds and play whatever music you want and also adds songs that you might like, judging from your playlist if you choose to arrange one. 😊💃🎸🎶</t>
  </si>
  <si>
    <t>8.7.58.455</t>
  </si>
  <si>
    <t>2022-08-23 15:15:54</t>
  </si>
  <si>
    <t>["playlist"]</t>
  </si>
  <si>
    <t>it finds and play whatever music you want</t>
  </si>
  <si>
    <t>ac4e860a-c042-49cc-90f3-189591c336ac</t>
  </si>
  <si>
    <t>paying for subscribing but unable to play in offline mode really?</t>
  </si>
  <si>
    <t>2022-08-22 03:25:59</t>
  </si>
  <si>
    <t>["subscription","offline mode"]</t>
  </si>
  <si>
    <t>paying for subscribing but unable to play in offline mode</t>
  </si>
  <si>
    <t>9034d675-9582-49b6-a1c1-c4ddabf8baf1</t>
  </si>
  <si>
    <t>Worst app ever too much ad</t>
  </si>
  <si>
    <t>8.7.78.383</t>
  </si>
  <si>
    <t>2022-11-11 00:18:06</t>
  </si>
  <si>
    <t>["ad"]</t>
  </si>
  <si>
    <t>too much ad</t>
  </si>
  <si>
    <t>d2f3874f-d15d-4a2f-bb97-4f1213defa46</t>
  </si>
  <si>
    <t>Too expensive and the free version is pretty much unusable with constant ads... Every two or three songs.. Forget it</t>
  </si>
  <si>
    <t>2023-09-22 23:48:41</t>
  </si>
  <si>
    <t>["free version","ads"]</t>
  </si>
  <si>
    <t>the free version is pretty much unusable with constant ads</t>
  </si>
  <si>
    <t>99b93e31-9f15-4daa-88ac-349ab0419c48</t>
  </si>
  <si>
    <t>This update very bad for everyone.old Spotify. we all want.</t>
  </si>
  <si>
    <t>2023-04-13 12:03:21</t>
  </si>
  <si>
    <t>["update"]</t>
  </si>
  <si>
    <t>This update very bad for everyone</t>
  </si>
  <si>
    <t>ca63dfbe-7120-4e18-af6e-8ea786cd157d</t>
  </si>
  <si>
    <t>I'm loving the experience with the app</t>
  </si>
  <si>
    <t>2023-10-07 05:32:37</t>
  </si>
  <si>
    <t>083811c7-d469-499b-9bef-5b9fb096653d</t>
  </si>
  <si>
    <t>best app ever</t>
  </si>
  <si>
    <t>8.8.82.634</t>
  </si>
  <si>
    <t>2023-11-15 13:31:03</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</si>
</sst>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6.0"/>
      <color rgb="FF1F1F1F"/>
      <name val="Arial"/>
    </font>
    <font>
      <sz val="11.0"/>
      <color theme="1"/>
      <name val="Carlito"/>
    </font>
    <font>
      <b/>
      <i/>
      <sz val="10.0"/>
      <color rgb="FF595959"/>
      <name val="Arial"/>
    </font>
    <font>
      <i/>
      <sz val="10.0"/>
      <color rgb="FF595959"/>
      <name val="Arial"/>
    </font>
    <font>
      <b/>
      <sz val="10.0"/>
      <color rgb="FFFFFFFF"/>
      <name val="Arial"/>
    </font>
    <font>
      <b/>
      <sz val="10.0"/>
      <color rgb="FF1F1F1F"/>
      <name val="Arial"/>
    </font>
    <font>
      <sz val="10.0"/>
      <color rgb="FF1F1F1F"/>
      <name val="Arial"/>
    </font>
    <font>
      <b/>
      <sz val="10.0"/>
      <color rgb="FF7F6000"/>
      <name val="Arial"/>
    </font>
    <font>
      <sz val="9.0"/>
      <color rgb="FF595959"/>
      <name val="Arial"/>
    </font>
  </fonts>
  <fills count="6">
    <fill>
      <patternFill patternType="none"/>
    </fill>
    <fill>
      <patternFill patternType="lightGray"/>
    </fill>
    <fill>
      <patternFill patternType="solid">
        <fgColor rgb="FF1F4E78"/>
        <bgColor rgb="FF1F4E78"/>
      </patternFill>
    </fill>
    <fill>
      <patternFill patternType="solid">
        <fgColor rgb="FFEAF2F8"/>
        <bgColor rgb="FFEAF2F8"/>
      </patternFill>
    </fill>
    <fill>
      <patternFill patternType="solid">
        <fgColor rgb="FFF7F7F7"/>
        <bgColor rgb="FFF7F7F7"/>
      </patternFill>
    </fill>
    <fill>
      <patternFill patternType="solid">
        <fgColor rgb="FFFFF2CC"/>
        <bgColor rgb="FFFFF2CC"/>
      </patternFill>
    </fill>
  </fills>
  <borders count="7">
    <border/>
    <border>
      <bottom style="medium">
        <color rgb="FF1F4E78"/>
      </bottom>
    </border>
    <border>
      <right style="thin">
        <color rgb="FFFFFFFF"/>
      </right>
      <bottom style="thin">
        <color rgb="FFD9E2F3"/>
      </bottom>
    </border>
    <border>
      <left style="thin">
        <color rgb="FFFFFFFF"/>
      </left>
      <right style="thin">
        <color rgb="FFFFFFFF"/>
      </right>
      <bottom style="thin">
        <color rgb="FFD9E2F3"/>
      </bottom>
    </border>
    <border>
      <top style="thin">
        <color rgb="FFD9E2F3"/>
      </top>
      <bottom style="thin">
        <color rgb="FFD9E2F3"/>
      </bottom>
    </border>
    <border>
      <right style="thin">
        <color rgb="FFFFFFFF"/>
      </right>
      <top style="thin">
        <color rgb="FFD9E2F3"/>
      </top>
      <bottom style="thin">
        <color rgb="FFD9E2F3"/>
      </bottom>
    </border>
    <border>
      <left style="thin">
        <color rgb="FFFFFFFF"/>
      </left>
      <right style="thin">
        <color rgb="FFFFFFFF"/>
      </right>
      <top style="thin">
        <color rgb="FFD9E2F3"/>
      </top>
      <bottom style="thin">
        <color rgb="FFD9E2F3"/>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0" fillId="0" fontId="4" numFmtId="0" xfId="0" applyAlignment="1" applyFont="1">
      <alignment shrinkToFit="0" wrapText="1"/>
    </xf>
    <xf borderId="0" fillId="0" fontId="4" numFmtId="0" xfId="0" applyFont="1"/>
    <xf borderId="2" fillId="2" fontId="5" numFmtId="0" xfId="0" applyAlignment="1" applyBorder="1" applyFill="1" applyFont="1">
      <alignment horizontal="center" vertical="center"/>
    </xf>
    <xf borderId="0" fillId="0" fontId="6" numFmtId="0" xfId="0" applyAlignment="1" applyFont="1">
      <alignment vertical="center"/>
    </xf>
    <xf borderId="3" fillId="2" fontId="5" numFmtId="0" xfId="0" applyAlignment="1" applyBorder="1" applyFill="1" applyFont="1">
      <alignment horizontal="center" vertical="center"/>
    </xf>
    <xf borderId="4" fillId="0" fontId="7" numFmtId="0" xfId="0" applyAlignment="1" applyBorder="1" applyFont="1">
      <alignment horizontal="center" shrinkToFit="0" vertical="top" wrapText="1"/>
    </xf>
    <xf borderId="4" fillId="0" fontId="7" numFmtId="0" xfId="0" applyAlignment="1" applyBorder="1" applyFont="1">
      <alignment shrinkToFit="0" vertical="top" wrapText="1"/>
    </xf>
    <xf borderId="5" fillId="0" fontId="7" numFmtId="0" xfId="0" applyAlignment="1" applyBorder="1" applyFont="1">
      <alignment shrinkToFit="0" vertical="top" wrapText="1"/>
    </xf>
    <xf borderId="0" fillId="3" fontId="6" numFmtId="0" xfId="0" applyAlignment="1" applyFill="1" applyFont="1">
      <alignment horizontal="center" vertical="center"/>
    </xf>
    <xf borderId="4" fillId="0" fontId="2" numFmtId="0" xfId="0" applyBorder="1" applyFont="1"/>
    <xf borderId="5" fillId="0" fontId="2" numFmtId="0" xfId="0" applyBorder="1" applyFont="1"/>
    <xf borderId="5" fillId="2" fontId="5" numFmtId="0" xfId="0" applyAlignment="1" applyBorder="1" applyFill="1" applyFont="1">
      <alignment horizontal="center" vertical="center"/>
    </xf>
    <xf borderId="6" fillId="2" fontId="5" numFmtId="0" xfId="0" applyAlignment="1" applyBorder="1" applyFill="1" applyFont="1">
      <alignment horizontal="center" vertical="center"/>
    </xf>
    <xf borderId="4" fillId="0" fontId="6" numFmtId="0" xfId="0" applyAlignment="1" applyBorder="1" applyFont="1">
      <alignment shrinkToFit="0" vertical="top" wrapText="1"/>
    </xf>
    <xf borderId="2" fillId="2" fontId="5" numFmtId="0" xfId="0" applyAlignment="1" applyBorder="1" applyFill="1" applyFont="1">
      <alignment horizontal="center" shrinkToFit="0" vertical="center" wrapText="1"/>
    </xf>
    <xf borderId="3" fillId="2" fontId="5" numFmtId="0" xfId="0" applyAlignment="1" applyBorder="1" applyFill="1" applyFont="1">
      <alignment horizontal="center" shrinkToFit="0" vertical="center" wrapText="1"/>
    </xf>
    <xf borderId="4" fillId="4" fontId="7" numFmtId="0" xfId="0" applyAlignment="1" applyBorder="1" applyFill="1" applyFont="1">
      <alignment vertical="top"/>
    </xf>
    <xf borderId="4" fillId="4" fontId="7" numFmtId="0" xfId="0" applyAlignment="1" applyBorder="1" applyFill="1" applyFont="1">
      <alignment shrinkToFit="0" vertical="top" wrapText="1"/>
    </xf>
    <xf borderId="4" fillId="4" fontId="7" numFmtId="0" xfId="0" applyAlignment="1" applyBorder="1" applyFill="1" applyFont="1">
      <alignment horizontal="center" vertical="top"/>
    </xf>
    <xf borderId="4" fillId="5" fontId="7" numFmtId="0" xfId="0" applyAlignment="1" applyBorder="1" applyFill="1" applyFont="1">
      <alignment horizontal="center" readingOrder="0" vertical="top"/>
    </xf>
    <xf borderId="4" fillId="5" fontId="7" numFmtId="0" xfId="0" applyAlignment="1" applyBorder="1" applyFill="1" applyFont="1">
      <alignment readingOrder="0" shrinkToFit="0" vertical="top" wrapText="1"/>
    </xf>
    <xf borderId="4" fillId="5" fontId="8" numFmtId="0" xfId="0" applyAlignment="1" applyBorder="1" applyFill="1" applyFont="1">
      <alignment shrinkToFit="0" vertical="top" wrapText="1"/>
    </xf>
    <xf borderId="5" fillId="5" fontId="8" numFmtId="0" xfId="0" applyAlignment="1" applyBorder="1" applyFill="1" applyFont="1">
      <alignment shrinkToFit="0" vertical="top" wrapText="1"/>
    </xf>
    <xf borderId="4" fillId="0" fontId="6" numFmtId="0" xfId="0" applyBorder="1" applyFont="1"/>
    <xf borderId="4" fillId="0" fontId="9" numFmtId="0" xfId="0" applyBorder="1" applyFont="1"/>
    <xf borderId="5" fillId="0" fontId="9" numFmtId="0" xfId="0" applyBorder="1" applyFont="1"/>
  </cellXfs>
  <cellStyles count="1">
    <cellStyle xfId="0" name="Normal" builtinId="0"/>
  </cellStyles>
  <dxfs count="1">
    <dxf>
      <font>
        <b/>
        <color rgb="FF375623"/>
      </font>
      <fill>
        <patternFill patternType="solid">
          <fgColor rgb="FFE2F0D9"/>
          <bgColor rgb="FFE2F0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38.0"/>
    <col customWidth="1" min="2" max="2" width="82.0"/>
    <col customWidth="1" min="3" max="4" width="11.0"/>
    <col customWidth="1" min="5" max="5" width="18.0"/>
    <col customWidth="1" min="6" max="6" width="11.88"/>
    <col customWidth="1" min="7" max="8" width="15.0"/>
    <col customWidth="1" min="9" max="10" width="12.0"/>
    <col customWidth="1" min="11" max="11" width="30.0"/>
    <col customWidth="1" min="12" max="12" width="48.0"/>
    <col customWidth="1" min="13" max="24" width="8.63"/>
  </cols>
  <sheetData>
    <row r="1">
      <c r="A1" s="1" t="s">
        <v>1</v>
      </c>
      <c r="B1" s="2"/>
      <c r="C1" s="2"/>
      <c r="D1" s="2"/>
      <c r="E1" s="2"/>
      <c r="F1" s="2"/>
      <c r="G1" s="2"/>
      <c r="H1" s="2"/>
      <c r="I1" s="2"/>
      <c r="J1" s="2"/>
      <c r="K1" s="2"/>
      <c r="L1" s="2"/>
    </row>
    <row r="2">
      <c r="A2" s="5"/>
      <c r="B2" s="5"/>
      <c r="C2" s="5"/>
      <c r="D2" s="5"/>
      <c r="E2" s="5"/>
      <c r="F2" s="5"/>
      <c r="G2" s="5"/>
      <c r="H2" s="5"/>
      <c r="I2" s="5"/>
      <c r="J2" s="5"/>
      <c r="K2" s="5"/>
      <c r="L2" s="5"/>
    </row>
    <row r="3" ht="24.0" customHeight="1">
      <c r="A3" s="7" t="s">
        <v>5</v>
      </c>
      <c r="B3" s="12">
        <f>COUNTIF(#REF!,"Complete")</f>
        <v>0</v>
      </c>
      <c r="C3" s="7" t="s">
        <v>27</v>
      </c>
      <c r="D3" s="7">
        <f>COUNTIF(#REF!,"Incomplete")+COUNTIF(#REF!,"Check inputs")</f>
        <v>0</v>
      </c>
      <c r="E3" s="7" t="s">
        <v>28</v>
      </c>
      <c r="F3" s="7">
        <f>COUNTIF(#REF!,"Not started")</f>
        <v>0</v>
      </c>
      <c r="G3" s="7" t="s">
        <v>32</v>
      </c>
      <c r="H3" s="7" t="str">
        <f>IF(B3=50,"YES","NO")</f>
        <v>NO</v>
      </c>
    </row>
    <row r="5" ht="31.5" customHeight="1">
      <c r="A5" s="18" t="s">
        <v>53</v>
      </c>
      <c r="B5" s="19" t="s">
        <v>60</v>
      </c>
      <c r="C5" s="19" t="s">
        <v>64</v>
      </c>
      <c r="D5" s="19" t="s">
        <v>66</v>
      </c>
      <c r="E5" s="19" t="s">
        <v>67</v>
      </c>
      <c r="F5" s="19" t="s">
        <v>69</v>
      </c>
      <c r="G5" s="19" t="s">
        <v>34</v>
      </c>
      <c r="H5" s="19" t="s">
        <v>61</v>
      </c>
      <c r="I5" s="19" t="s">
        <v>72</v>
      </c>
      <c r="J5" s="19" t="s">
        <v>75</v>
      </c>
      <c r="K5" s="19" t="s">
        <v>77</v>
      </c>
      <c r="L5" s="19" t="s">
        <v>78</v>
      </c>
    </row>
    <row r="6" ht="72.0" customHeight="1">
      <c r="A6" s="20" t="s">
        <v>82</v>
      </c>
      <c r="B6" s="21" t="s">
        <v>88</v>
      </c>
      <c r="C6" s="22">
        <v>1.0</v>
      </c>
      <c r="D6" s="22">
        <v>1.0</v>
      </c>
      <c r="E6" s="20" t="s">
        <v>94</v>
      </c>
      <c r="F6" s="20" t="s">
        <v>97</v>
      </c>
      <c r="G6" s="23" t="s">
        <v>47</v>
      </c>
      <c r="H6" s="23" t="s">
        <v>68</v>
      </c>
      <c r="I6" s="23">
        <v>-1.0</v>
      </c>
      <c r="J6" s="23">
        <v>2.0</v>
      </c>
      <c r="K6" s="24" t="s">
        <v>114</v>
      </c>
      <c r="L6" s="24" t="s">
        <v>118</v>
      </c>
    </row>
    <row r="7" ht="72.0" customHeight="1">
      <c r="A7" s="20" t="s">
        <v>119</v>
      </c>
      <c r="B7" s="21" t="s">
        <v>120</v>
      </c>
      <c r="C7" s="22">
        <v>5.0</v>
      </c>
      <c r="D7" s="22">
        <v>0.0</v>
      </c>
      <c r="E7" s="20" t="s">
        <v>122</v>
      </c>
      <c r="F7" s="20" t="s">
        <v>123</v>
      </c>
      <c r="G7" s="23" t="s">
        <v>57</v>
      </c>
      <c r="H7" s="23" t="s">
        <v>79</v>
      </c>
      <c r="I7" s="23">
        <v>0.9</v>
      </c>
      <c r="J7" s="23">
        <v>1.0</v>
      </c>
      <c r="K7" s="24" t="s">
        <v>127</v>
      </c>
      <c r="L7" s="24" t="s">
        <v>120</v>
      </c>
    </row>
    <row r="8" ht="72.0" customHeight="1">
      <c r="A8" s="20" t="s">
        <v>128</v>
      </c>
      <c r="B8" s="21" t="s">
        <v>129</v>
      </c>
      <c r="C8" s="22">
        <v>5.0</v>
      </c>
      <c r="D8" s="22">
        <v>0.0</v>
      </c>
      <c r="E8" s="20" t="s">
        <v>131</v>
      </c>
      <c r="F8" s="20" t="s">
        <v>132</v>
      </c>
      <c r="G8" s="23" t="s">
        <v>57</v>
      </c>
      <c r="H8" s="23" t="s">
        <v>79</v>
      </c>
      <c r="I8" s="23">
        <v>0.9</v>
      </c>
      <c r="J8" s="23">
        <v>1.0</v>
      </c>
      <c r="K8" s="24" t="s">
        <v>127</v>
      </c>
      <c r="L8" s="24" t="s">
        <v>136</v>
      </c>
    </row>
    <row r="9" ht="72.0" customHeight="1">
      <c r="A9" s="20" t="s">
        <v>137</v>
      </c>
      <c r="B9" s="21" t="s">
        <v>138</v>
      </c>
      <c r="C9" s="22">
        <v>1.0</v>
      </c>
      <c r="D9" s="22">
        <v>0.0</v>
      </c>
      <c r="E9" s="20" t="s">
        <v>139</v>
      </c>
      <c r="F9" s="20" t="s">
        <v>140</v>
      </c>
      <c r="G9" s="23" t="s">
        <v>38</v>
      </c>
      <c r="H9" s="23" t="s">
        <v>68</v>
      </c>
      <c r="I9" s="23">
        <v>-0.6</v>
      </c>
      <c r="J9" s="23">
        <v>3.0</v>
      </c>
      <c r="K9" s="24" t="s">
        <v>141</v>
      </c>
      <c r="L9" s="24" t="s">
        <v>142</v>
      </c>
    </row>
    <row r="10" ht="72.0" customHeight="1">
      <c r="A10" s="20" t="s">
        <v>143</v>
      </c>
      <c r="B10" s="21" t="s">
        <v>144</v>
      </c>
      <c r="C10" s="22">
        <v>5.0</v>
      </c>
      <c r="D10" s="22">
        <v>0.0</v>
      </c>
      <c r="E10" s="20" t="s">
        <v>145</v>
      </c>
      <c r="F10" s="20" t="s">
        <v>146</v>
      </c>
      <c r="G10" s="23" t="s">
        <v>57</v>
      </c>
      <c r="H10" s="23" t="s">
        <v>79</v>
      </c>
      <c r="I10" s="23">
        <v>0.9</v>
      </c>
      <c r="J10" s="23">
        <v>1.0</v>
      </c>
      <c r="K10" s="24" t="s">
        <v>127</v>
      </c>
      <c r="L10" s="24" t="s">
        <v>144</v>
      </c>
    </row>
    <row r="11" ht="72.0" customHeight="1">
      <c r="A11" s="20" t="s">
        <v>147</v>
      </c>
      <c r="B11" s="21" t="s">
        <v>148</v>
      </c>
      <c r="C11" s="22">
        <v>1.0</v>
      </c>
      <c r="D11" s="22">
        <v>0.0</v>
      </c>
      <c r="E11" s="20"/>
      <c r="F11" s="20" t="s">
        <v>149</v>
      </c>
      <c r="G11" s="23" t="s">
        <v>57</v>
      </c>
      <c r="H11" s="23" t="s">
        <v>68</v>
      </c>
      <c r="I11" s="23">
        <v>-1.0</v>
      </c>
      <c r="J11" s="23">
        <v>2.0</v>
      </c>
      <c r="K11" s="24" t="s">
        <v>127</v>
      </c>
      <c r="L11" s="24" t="s">
        <v>150</v>
      </c>
    </row>
    <row r="12" ht="72.0" customHeight="1">
      <c r="A12" s="20" t="s">
        <v>151</v>
      </c>
      <c r="B12" s="21" t="s">
        <v>152</v>
      </c>
      <c r="C12" s="22">
        <v>5.0</v>
      </c>
      <c r="D12" s="22">
        <v>0.0</v>
      </c>
      <c r="E12" s="20" t="s">
        <v>153</v>
      </c>
      <c r="F12" s="20" t="s">
        <v>154</v>
      </c>
      <c r="G12" s="23" t="s">
        <v>57</v>
      </c>
      <c r="H12" s="23" t="s">
        <v>79</v>
      </c>
      <c r="I12" s="23">
        <v>0.9</v>
      </c>
      <c r="J12" s="23">
        <v>1.0</v>
      </c>
      <c r="K12" s="24" t="s">
        <v>127</v>
      </c>
      <c r="L12" s="24" t="s">
        <v>152</v>
      </c>
    </row>
    <row r="13" ht="72.0" customHeight="1">
      <c r="A13" s="20" t="s">
        <v>155</v>
      </c>
      <c r="B13" s="21" t="s">
        <v>156</v>
      </c>
      <c r="C13" s="22">
        <v>5.0</v>
      </c>
      <c r="D13" s="22">
        <v>0.0</v>
      </c>
      <c r="E13" s="20"/>
      <c r="F13" s="20" t="s">
        <v>157</v>
      </c>
      <c r="G13" s="23" t="s">
        <v>57</v>
      </c>
      <c r="H13" s="23" t="s">
        <v>79</v>
      </c>
      <c r="I13" s="23">
        <v>0.7</v>
      </c>
      <c r="J13" s="23">
        <v>1.0</v>
      </c>
      <c r="K13" s="24" t="s">
        <v>127</v>
      </c>
      <c r="L13" s="24" t="s">
        <v>158</v>
      </c>
    </row>
    <row r="14" ht="72.0" customHeight="1">
      <c r="A14" s="20" t="s">
        <v>159</v>
      </c>
      <c r="B14" s="21" t="s">
        <v>160</v>
      </c>
      <c r="C14" s="22">
        <v>5.0</v>
      </c>
      <c r="D14" s="22">
        <v>0.0</v>
      </c>
      <c r="E14" s="20" t="s">
        <v>161</v>
      </c>
      <c r="F14" s="20" t="s">
        <v>162</v>
      </c>
      <c r="G14" s="23" t="s">
        <v>47</v>
      </c>
      <c r="H14" s="23" t="s">
        <v>79</v>
      </c>
      <c r="I14" s="23">
        <v>0.9</v>
      </c>
      <c r="J14" s="23">
        <v>1.0</v>
      </c>
      <c r="K14" s="24" t="s">
        <v>127</v>
      </c>
      <c r="L14" s="24" t="s">
        <v>163</v>
      </c>
    </row>
    <row r="15" ht="72.0" customHeight="1">
      <c r="A15" s="20" t="s">
        <v>164</v>
      </c>
      <c r="B15" s="21" t="s">
        <v>165</v>
      </c>
      <c r="C15" s="22">
        <v>5.0</v>
      </c>
      <c r="D15" s="22">
        <v>0.0</v>
      </c>
      <c r="E15" s="20" t="s">
        <v>166</v>
      </c>
      <c r="F15" s="20" t="s">
        <v>167</v>
      </c>
      <c r="G15" s="23" t="s">
        <v>38</v>
      </c>
      <c r="H15" s="23" t="s">
        <v>79</v>
      </c>
      <c r="I15" s="23">
        <v>0.8</v>
      </c>
      <c r="J15" s="23">
        <v>1.0</v>
      </c>
      <c r="K15" s="24" t="s">
        <v>168</v>
      </c>
      <c r="L15" s="24" t="s">
        <v>165</v>
      </c>
    </row>
    <row r="16" ht="72.0" customHeight="1">
      <c r="A16" s="20" t="s">
        <v>169</v>
      </c>
      <c r="B16" s="21" t="s">
        <v>170</v>
      </c>
      <c r="C16" s="22">
        <v>3.0</v>
      </c>
      <c r="D16" s="22">
        <v>1.0</v>
      </c>
      <c r="E16" s="20" t="s">
        <v>171</v>
      </c>
      <c r="F16" s="20" t="s">
        <v>172</v>
      </c>
      <c r="G16" s="23" t="s">
        <v>41</v>
      </c>
      <c r="H16" s="23" t="s">
        <v>68</v>
      </c>
      <c r="I16" s="23">
        <v>-0.7</v>
      </c>
      <c r="J16" s="23">
        <v>4.0</v>
      </c>
      <c r="K16" s="24" t="s">
        <v>173</v>
      </c>
      <c r="L16" s="24" t="s">
        <v>174</v>
      </c>
    </row>
    <row r="17" ht="72.0" customHeight="1">
      <c r="A17" s="20" t="s">
        <v>175</v>
      </c>
      <c r="B17" s="21" t="s">
        <v>176</v>
      </c>
      <c r="C17" s="22">
        <v>5.0</v>
      </c>
      <c r="D17" s="22">
        <v>13.0</v>
      </c>
      <c r="E17" s="20" t="s">
        <v>177</v>
      </c>
      <c r="F17" s="20" t="s">
        <v>178</v>
      </c>
      <c r="G17" s="23" t="s">
        <v>41</v>
      </c>
      <c r="H17" s="23" t="s">
        <v>68</v>
      </c>
      <c r="I17" s="23">
        <v>-0.4</v>
      </c>
      <c r="J17" s="23">
        <v>4.0</v>
      </c>
      <c r="K17" s="24" t="s">
        <v>179</v>
      </c>
      <c r="L17" s="24" t="s">
        <v>180</v>
      </c>
    </row>
    <row r="18" ht="72.0" customHeight="1">
      <c r="A18" s="20" t="s">
        <v>181</v>
      </c>
      <c r="B18" s="21" t="s">
        <v>182</v>
      </c>
      <c r="C18" s="22">
        <v>1.0</v>
      </c>
      <c r="D18" s="22">
        <v>0.0</v>
      </c>
      <c r="E18" s="20"/>
      <c r="F18" s="20" t="s">
        <v>183</v>
      </c>
      <c r="G18" s="23" t="s">
        <v>57</v>
      </c>
      <c r="H18" s="23" t="s">
        <v>68</v>
      </c>
      <c r="I18" s="23">
        <v>-0.7</v>
      </c>
      <c r="J18" s="23">
        <v>1.0</v>
      </c>
      <c r="K18" s="24" t="s">
        <v>127</v>
      </c>
      <c r="L18" s="24" t="s">
        <v>182</v>
      </c>
    </row>
    <row r="19" ht="72.0" customHeight="1">
      <c r="A19" s="20" t="s">
        <v>184</v>
      </c>
      <c r="B19" s="21" t="s">
        <v>185</v>
      </c>
      <c r="C19" s="22">
        <v>5.0</v>
      </c>
      <c r="D19" s="22">
        <v>0.0</v>
      </c>
      <c r="E19" s="20" t="s">
        <v>186</v>
      </c>
      <c r="F19" s="20" t="s">
        <v>187</v>
      </c>
      <c r="G19" s="23" t="s">
        <v>57</v>
      </c>
      <c r="H19" s="23" t="s">
        <v>79</v>
      </c>
      <c r="I19" s="23">
        <v>0.7</v>
      </c>
      <c r="J19" s="23">
        <v>1.0</v>
      </c>
      <c r="K19" s="24" t="s">
        <v>127</v>
      </c>
      <c r="L19" s="24" t="s">
        <v>188</v>
      </c>
    </row>
    <row r="20" ht="72.0" customHeight="1">
      <c r="A20" s="20" t="s">
        <v>189</v>
      </c>
      <c r="B20" s="21" t="s">
        <v>190</v>
      </c>
      <c r="C20" s="22">
        <v>5.0</v>
      </c>
      <c r="D20" s="22">
        <v>0.0</v>
      </c>
      <c r="E20" s="20"/>
      <c r="F20" s="20" t="s">
        <v>191</v>
      </c>
      <c r="G20" s="23" t="s">
        <v>57</v>
      </c>
      <c r="H20" s="23" t="s">
        <v>79</v>
      </c>
      <c r="I20" s="23">
        <v>0.8</v>
      </c>
      <c r="J20" s="23">
        <v>1.0</v>
      </c>
      <c r="K20" s="24" t="s">
        <v>127</v>
      </c>
      <c r="L20" s="24" t="s">
        <v>190</v>
      </c>
    </row>
    <row r="21" ht="72.0" customHeight="1">
      <c r="A21" s="20" t="s">
        <v>192</v>
      </c>
      <c r="B21" s="21" t="s">
        <v>193</v>
      </c>
      <c r="C21" s="22">
        <v>4.0</v>
      </c>
      <c r="D21" s="22">
        <v>0.0</v>
      </c>
      <c r="E21" s="20" t="s">
        <v>194</v>
      </c>
      <c r="F21" s="20" t="s">
        <v>195</v>
      </c>
      <c r="G21" s="23" t="s">
        <v>38</v>
      </c>
      <c r="H21" s="23" t="s">
        <v>68</v>
      </c>
      <c r="I21" s="23">
        <v>-0.6</v>
      </c>
      <c r="J21" s="23">
        <v>2.0</v>
      </c>
      <c r="K21" s="24" t="s">
        <v>196</v>
      </c>
      <c r="L21" s="24" t="s">
        <v>197</v>
      </c>
    </row>
    <row r="22" ht="72.0" customHeight="1">
      <c r="A22" s="20" t="s">
        <v>198</v>
      </c>
      <c r="B22" s="21" t="s">
        <v>199</v>
      </c>
      <c r="C22" s="22">
        <v>5.0</v>
      </c>
      <c r="D22" s="22">
        <v>0.0</v>
      </c>
      <c r="E22" s="20"/>
      <c r="F22" s="20" t="s">
        <v>200</v>
      </c>
      <c r="G22" s="23" t="s">
        <v>47</v>
      </c>
      <c r="H22" s="23" t="s">
        <v>79</v>
      </c>
      <c r="I22" s="23">
        <v>0.6</v>
      </c>
      <c r="J22" s="23">
        <v>1.0</v>
      </c>
      <c r="K22" s="24" t="s">
        <v>127</v>
      </c>
      <c r="L22" s="24" t="s">
        <v>199</v>
      </c>
    </row>
    <row r="23" ht="72.0" customHeight="1">
      <c r="A23" s="20" t="s">
        <v>201</v>
      </c>
      <c r="B23" s="21" t="s">
        <v>202</v>
      </c>
      <c r="C23" s="22">
        <v>1.0</v>
      </c>
      <c r="D23" s="22">
        <v>0.0</v>
      </c>
      <c r="E23" s="20" t="s">
        <v>203</v>
      </c>
      <c r="F23" s="20" t="s">
        <v>204</v>
      </c>
      <c r="G23" s="23" t="s">
        <v>57</v>
      </c>
      <c r="H23" s="23" t="s">
        <v>83</v>
      </c>
      <c r="I23" s="23">
        <v>0.0</v>
      </c>
      <c r="J23" s="23">
        <v>1.0</v>
      </c>
      <c r="K23" s="24" t="s">
        <v>205</v>
      </c>
      <c r="L23" s="24" t="s">
        <v>202</v>
      </c>
    </row>
    <row r="24" ht="72.0" customHeight="1">
      <c r="A24" s="20" t="s">
        <v>206</v>
      </c>
      <c r="B24" s="21" t="s">
        <v>207</v>
      </c>
      <c r="C24" s="22">
        <v>1.0</v>
      </c>
      <c r="D24" s="22">
        <v>0.0</v>
      </c>
      <c r="E24" s="20" t="s">
        <v>208</v>
      </c>
      <c r="F24" s="20" t="s">
        <v>209</v>
      </c>
      <c r="G24" s="23" t="s">
        <v>47</v>
      </c>
      <c r="H24" s="23" t="s">
        <v>68</v>
      </c>
      <c r="I24" s="23">
        <v>-0.7</v>
      </c>
      <c r="J24" s="23">
        <v>3.0</v>
      </c>
      <c r="K24" s="24" t="s">
        <v>210</v>
      </c>
      <c r="L24" s="24" t="s">
        <v>211</v>
      </c>
    </row>
    <row r="25" ht="72.0" customHeight="1">
      <c r="A25" s="20" t="s">
        <v>212</v>
      </c>
      <c r="B25" s="21" t="s">
        <v>213</v>
      </c>
      <c r="C25" s="22">
        <v>1.0</v>
      </c>
      <c r="D25" s="22">
        <v>0.0</v>
      </c>
      <c r="E25" s="20"/>
      <c r="F25" s="20" t="s">
        <v>214</v>
      </c>
      <c r="G25" s="23" t="s">
        <v>57</v>
      </c>
      <c r="H25" s="23" t="s">
        <v>68</v>
      </c>
      <c r="I25" s="23">
        <v>-1.0</v>
      </c>
      <c r="J25" s="23">
        <v>2.0</v>
      </c>
      <c r="K25" s="24" t="s">
        <v>127</v>
      </c>
      <c r="L25" s="24" t="s">
        <v>215</v>
      </c>
    </row>
    <row r="26" ht="72.0" customHeight="1">
      <c r="A26" s="20" t="s">
        <v>216</v>
      </c>
      <c r="B26" s="21" t="s">
        <v>217</v>
      </c>
      <c r="C26" s="22">
        <v>1.0</v>
      </c>
      <c r="D26" s="22">
        <v>0.0</v>
      </c>
      <c r="E26" s="20" t="s">
        <v>218</v>
      </c>
      <c r="F26" s="20" t="s">
        <v>219</v>
      </c>
      <c r="G26" s="23" t="s">
        <v>57</v>
      </c>
      <c r="H26" s="23" t="s">
        <v>62</v>
      </c>
      <c r="I26" s="23">
        <v>-1.0</v>
      </c>
      <c r="J26" s="23">
        <v>2.0</v>
      </c>
      <c r="K26" s="24" t="s">
        <v>220</v>
      </c>
      <c r="L26" s="24" t="s">
        <v>221</v>
      </c>
    </row>
    <row r="27" ht="72.0" customHeight="1">
      <c r="A27" s="20" t="s">
        <v>222</v>
      </c>
      <c r="B27" s="21" t="s">
        <v>223</v>
      </c>
      <c r="C27" s="22">
        <v>5.0</v>
      </c>
      <c r="D27" s="22">
        <v>0.0</v>
      </c>
      <c r="E27" s="20" t="s">
        <v>224</v>
      </c>
      <c r="F27" s="20" t="s">
        <v>225</v>
      </c>
      <c r="G27" s="23" t="s">
        <v>47</v>
      </c>
      <c r="H27" s="23" t="s">
        <v>79</v>
      </c>
      <c r="I27" s="23">
        <v>1.0</v>
      </c>
      <c r="J27" s="23">
        <v>1.0</v>
      </c>
      <c r="K27" s="24" t="s">
        <v>226</v>
      </c>
      <c r="L27" s="24" t="s">
        <v>227</v>
      </c>
    </row>
    <row r="28" ht="72.0" customHeight="1">
      <c r="A28" s="20" t="s">
        <v>228</v>
      </c>
      <c r="B28" s="21" t="s">
        <v>229</v>
      </c>
      <c r="C28" s="22">
        <v>5.0</v>
      </c>
      <c r="D28" s="22">
        <v>0.0</v>
      </c>
      <c r="E28" s="20" t="s">
        <v>194</v>
      </c>
      <c r="F28" s="20" t="s">
        <v>230</v>
      </c>
      <c r="G28" s="23" t="s">
        <v>57</v>
      </c>
      <c r="H28" s="23" t="s">
        <v>79</v>
      </c>
      <c r="I28" s="23">
        <v>1.0</v>
      </c>
      <c r="J28" s="23">
        <v>1.0</v>
      </c>
      <c r="K28" s="24" t="s">
        <v>127</v>
      </c>
      <c r="L28" s="24" t="s">
        <v>231</v>
      </c>
    </row>
    <row r="29" ht="72.0" customHeight="1">
      <c r="A29" s="20" t="s">
        <v>232</v>
      </c>
      <c r="B29" s="21" t="s">
        <v>233</v>
      </c>
      <c r="C29" s="22">
        <v>1.0</v>
      </c>
      <c r="D29" s="22">
        <v>1.0</v>
      </c>
      <c r="E29" s="20" t="s">
        <v>234</v>
      </c>
      <c r="F29" s="20" t="s">
        <v>235</v>
      </c>
      <c r="G29" s="23" t="s">
        <v>38</v>
      </c>
      <c r="H29" s="23" t="s">
        <v>73</v>
      </c>
      <c r="I29" s="23">
        <v>-0.6</v>
      </c>
      <c r="J29" s="23">
        <v>2.0</v>
      </c>
      <c r="K29" s="24" t="s">
        <v>196</v>
      </c>
      <c r="L29" s="24" t="s">
        <v>236</v>
      </c>
    </row>
    <row r="30" ht="72.0" customHeight="1">
      <c r="A30" s="20" t="s">
        <v>237</v>
      </c>
      <c r="B30" s="21" t="s">
        <v>238</v>
      </c>
      <c r="C30" s="22">
        <v>1.0</v>
      </c>
      <c r="D30" s="22">
        <v>0.0</v>
      </c>
      <c r="E30" s="20" t="s">
        <v>239</v>
      </c>
      <c r="F30" s="20" t="s">
        <v>240</v>
      </c>
      <c r="G30" s="23" t="s">
        <v>41</v>
      </c>
      <c r="H30" s="23" t="s">
        <v>68</v>
      </c>
      <c r="I30" s="23">
        <v>-0.9</v>
      </c>
      <c r="J30" s="23">
        <v>4.0</v>
      </c>
      <c r="K30" s="24" t="s">
        <v>127</v>
      </c>
      <c r="L30" s="24" t="s">
        <v>241</v>
      </c>
    </row>
    <row r="31" ht="72.0" customHeight="1">
      <c r="A31" s="20" t="s">
        <v>242</v>
      </c>
      <c r="B31" s="21" t="s">
        <v>243</v>
      </c>
      <c r="C31" s="22">
        <v>5.0</v>
      </c>
      <c r="D31" s="22">
        <v>0.0</v>
      </c>
      <c r="E31" s="20" t="s">
        <v>166</v>
      </c>
      <c r="F31" s="20" t="s">
        <v>244</v>
      </c>
      <c r="G31" s="23" t="s">
        <v>57</v>
      </c>
      <c r="H31" s="23" t="s">
        <v>79</v>
      </c>
      <c r="I31" s="23">
        <v>0.9</v>
      </c>
      <c r="J31" s="23">
        <v>1.0</v>
      </c>
      <c r="K31" s="24" t="s">
        <v>127</v>
      </c>
      <c r="L31" s="24" t="s">
        <v>245</v>
      </c>
    </row>
    <row r="32" ht="72.0" customHeight="1">
      <c r="A32" s="20" t="s">
        <v>246</v>
      </c>
      <c r="B32" s="21" t="s">
        <v>247</v>
      </c>
      <c r="C32" s="22">
        <v>1.0</v>
      </c>
      <c r="D32" s="22">
        <v>0.0</v>
      </c>
      <c r="E32" s="20"/>
      <c r="F32" s="20" t="s">
        <v>248</v>
      </c>
      <c r="G32" s="23" t="s">
        <v>57</v>
      </c>
      <c r="H32" s="23" t="s">
        <v>68</v>
      </c>
      <c r="I32" s="23">
        <v>-0.8</v>
      </c>
      <c r="J32" s="23">
        <v>2.0</v>
      </c>
      <c r="K32" s="24" t="s">
        <v>127</v>
      </c>
      <c r="L32" s="24" t="s">
        <v>247</v>
      </c>
    </row>
    <row r="33" ht="72.0" customHeight="1">
      <c r="A33" s="20" t="s">
        <v>249</v>
      </c>
      <c r="B33" s="21" t="s">
        <v>250</v>
      </c>
      <c r="C33" s="22">
        <v>5.0</v>
      </c>
      <c r="D33" s="22">
        <v>0.0</v>
      </c>
      <c r="E33" s="20" t="s">
        <v>186</v>
      </c>
      <c r="F33" s="20" t="s">
        <v>251</v>
      </c>
      <c r="G33" s="23" t="s">
        <v>57</v>
      </c>
      <c r="H33" s="23" t="s">
        <v>83</v>
      </c>
      <c r="I33" s="23">
        <v>0.3</v>
      </c>
      <c r="J33" s="23">
        <v>1.0</v>
      </c>
      <c r="K33" s="24" t="s">
        <v>252</v>
      </c>
      <c r="L33" s="24" t="s">
        <v>250</v>
      </c>
    </row>
    <row r="34" ht="72.0" customHeight="1">
      <c r="A34" s="20" t="s">
        <v>253</v>
      </c>
      <c r="B34" s="21" t="s">
        <v>254</v>
      </c>
      <c r="C34" s="22">
        <v>1.0</v>
      </c>
      <c r="D34" s="22">
        <v>1.0</v>
      </c>
      <c r="E34" s="20" t="s">
        <v>131</v>
      </c>
      <c r="F34" s="20" t="s">
        <v>255</v>
      </c>
      <c r="G34" s="23" t="s">
        <v>38</v>
      </c>
      <c r="H34" s="23" t="s">
        <v>62</v>
      </c>
      <c r="I34" s="23">
        <v>-1.0</v>
      </c>
      <c r="J34" s="23">
        <v>4.0</v>
      </c>
      <c r="K34" s="24" t="s">
        <v>256</v>
      </c>
      <c r="L34" s="24" t="s">
        <v>257</v>
      </c>
    </row>
    <row r="35" ht="72.0" customHeight="1">
      <c r="A35" s="20" t="s">
        <v>258</v>
      </c>
      <c r="B35" s="21" t="s">
        <v>259</v>
      </c>
      <c r="C35" s="22">
        <v>1.0</v>
      </c>
      <c r="D35" s="22">
        <v>1.0</v>
      </c>
      <c r="E35" s="20" t="s">
        <v>260</v>
      </c>
      <c r="F35" s="20" t="s">
        <v>261</v>
      </c>
      <c r="G35" s="23" t="s">
        <v>50</v>
      </c>
      <c r="H35" s="23" t="s">
        <v>68</v>
      </c>
      <c r="I35" s="23">
        <v>-0.7</v>
      </c>
      <c r="J35" s="23">
        <v>3.0</v>
      </c>
      <c r="K35" s="24" t="s">
        <v>262</v>
      </c>
      <c r="L35" s="24" t="s">
        <v>263</v>
      </c>
    </row>
    <row r="36" ht="72.0" customHeight="1">
      <c r="A36" s="20" t="s">
        <v>264</v>
      </c>
      <c r="B36" s="21" t="s">
        <v>265</v>
      </c>
      <c r="C36" s="22">
        <v>1.0</v>
      </c>
      <c r="D36" s="22">
        <v>0.0</v>
      </c>
      <c r="E36" s="20"/>
      <c r="F36" s="20" t="s">
        <v>266</v>
      </c>
      <c r="G36" s="23" t="s">
        <v>57</v>
      </c>
      <c r="H36" s="23" t="s">
        <v>68</v>
      </c>
      <c r="I36" s="23">
        <v>-1.0</v>
      </c>
      <c r="J36" s="23">
        <v>1.0</v>
      </c>
      <c r="K36" s="24" t="s">
        <v>127</v>
      </c>
      <c r="L36" s="24" t="s">
        <v>267</v>
      </c>
    </row>
    <row r="37" ht="72.0" customHeight="1">
      <c r="A37" s="20" t="s">
        <v>268</v>
      </c>
      <c r="B37" s="21" t="s">
        <v>269</v>
      </c>
      <c r="C37" s="22">
        <v>1.0</v>
      </c>
      <c r="D37" s="22">
        <v>0.0</v>
      </c>
      <c r="E37" s="20" t="s">
        <v>270</v>
      </c>
      <c r="F37" s="20" t="s">
        <v>271</v>
      </c>
      <c r="G37" s="23" t="s">
        <v>41</v>
      </c>
      <c r="H37" s="23" t="s">
        <v>68</v>
      </c>
      <c r="I37" s="23">
        <v>-0.9</v>
      </c>
      <c r="J37" s="23">
        <v>4.0</v>
      </c>
      <c r="K37" s="24" t="s">
        <v>127</v>
      </c>
      <c r="L37" s="24" t="s">
        <v>272</v>
      </c>
    </row>
    <row r="38" ht="72.0" customHeight="1">
      <c r="A38" s="20" t="s">
        <v>273</v>
      </c>
      <c r="B38" s="21" t="s">
        <v>274</v>
      </c>
      <c r="C38" s="22">
        <v>1.0</v>
      </c>
      <c r="D38" s="22">
        <v>1.0</v>
      </c>
      <c r="E38" s="20" t="s">
        <v>275</v>
      </c>
      <c r="F38" s="20" t="s">
        <v>276</v>
      </c>
      <c r="G38" s="23" t="s">
        <v>41</v>
      </c>
      <c r="H38" s="23" t="s">
        <v>68</v>
      </c>
      <c r="I38" s="23">
        <v>-1.0</v>
      </c>
      <c r="J38" s="23">
        <v>4.0</v>
      </c>
      <c r="K38" s="24" t="s">
        <v>196</v>
      </c>
      <c r="L38" s="24" t="s">
        <v>277</v>
      </c>
    </row>
    <row r="39" ht="72.0" customHeight="1">
      <c r="A39" s="20" t="s">
        <v>278</v>
      </c>
      <c r="B39" s="21" t="s">
        <v>279</v>
      </c>
      <c r="C39" s="22">
        <v>5.0</v>
      </c>
      <c r="D39" s="22">
        <v>0.0</v>
      </c>
      <c r="E39" s="20" t="s">
        <v>280</v>
      </c>
      <c r="F39" s="20" t="s">
        <v>281</v>
      </c>
      <c r="G39" s="23" t="s">
        <v>57</v>
      </c>
      <c r="H39" s="23" t="s">
        <v>83</v>
      </c>
      <c r="I39" s="23">
        <v>0.0</v>
      </c>
      <c r="J39" s="23">
        <v>1.0</v>
      </c>
      <c r="K39" s="24" t="s">
        <v>127</v>
      </c>
      <c r="L39" s="24" t="s">
        <v>282</v>
      </c>
    </row>
    <row r="40" ht="72.0" customHeight="1">
      <c r="A40" s="20" t="s">
        <v>283</v>
      </c>
      <c r="B40" s="21" t="s">
        <v>284</v>
      </c>
      <c r="C40" s="22">
        <v>5.0</v>
      </c>
      <c r="D40" s="22">
        <v>0.0</v>
      </c>
      <c r="E40" s="20" t="s">
        <v>285</v>
      </c>
      <c r="F40" s="20" t="s">
        <v>286</v>
      </c>
      <c r="G40" s="23" t="s">
        <v>57</v>
      </c>
      <c r="H40" s="23" t="s">
        <v>79</v>
      </c>
      <c r="I40" s="23">
        <v>0.7</v>
      </c>
      <c r="J40" s="23">
        <v>1.0</v>
      </c>
      <c r="K40" s="24" t="s">
        <v>127</v>
      </c>
      <c r="L40" s="24" t="s">
        <v>284</v>
      </c>
    </row>
    <row r="41" ht="72.0" customHeight="1">
      <c r="A41" s="20" t="s">
        <v>287</v>
      </c>
      <c r="B41" s="21" t="s">
        <v>288</v>
      </c>
      <c r="C41" s="22">
        <v>5.0</v>
      </c>
      <c r="D41" s="22">
        <v>0.0</v>
      </c>
      <c r="E41" s="20"/>
      <c r="F41" s="20" t="s">
        <v>289</v>
      </c>
      <c r="G41" s="23" t="s">
        <v>57</v>
      </c>
      <c r="H41" s="23" t="s">
        <v>79</v>
      </c>
      <c r="I41" s="23">
        <v>0.7</v>
      </c>
      <c r="J41" s="23">
        <v>1.0</v>
      </c>
      <c r="K41" s="24" t="s">
        <v>127</v>
      </c>
      <c r="L41" s="24" t="s">
        <v>288</v>
      </c>
    </row>
    <row r="42" ht="72.0" customHeight="1">
      <c r="A42" s="20" t="s">
        <v>290</v>
      </c>
      <c r="B42" s="21" t="s">
        <v>291</v>
      </c>
      <c r="C42" s="22">
        <v>4.0</v>
      </c>
      <c r="D42" s="22">
        <v>0.0</v>
      </c>
      <c r="E42" s="20" t="s">
        <v>292</v>
      </c>
      <c r="F42" s="20" t="s">
        <v>293</v>
      </c>
      <c r="G42" s="23" t="s">
        <v>38</v>
      </c>
      <c r="H42" s="23" t="s">
        <v>79</v>
      </c>
      <c r="I42" s="23">
        <v>0.7</v>
      </c>
      <c r="J42" s="23">
        <v>1.0</v>
      </c>
      <c r="K42" s="24" t="s">
        <v>294</v>
      </c>
      <c r="L42" s="24" t="s">
        <v>295</v>
      </c>
    </row>
    <row r="43" ht="72.0" customHeight="1">
      <c r="A43" s="20" t="s">
        <v>296</v>
      </c>
      <c r="B43" s="21" t="s">
        <v>297</v>
      </c>
      <c r="C43" s="22">
        <v>1.0</v>
      </c>
      <c r="D43" s="22">
        <v>1.0</v>
      </c>
      <c r="E43" s="20" t="s">
        <v>139</v>
      </c>
      <c r="F43" s="20" t="s">
        <v>298</v>
      </c>
      <c r="G43" s="23" t="s">
        <v>47</v>
      </c>
      <c r="H43" s="23" t="s">
        <v>68</v>
      </c>
      <c r="I43" s="23">
        <v>-0.9</v>
      </c>
      <c r="J43" s="23">
        <v>3.0</v>
      </c>
      <c r="K43" s="24" t="s">
        <v>299</v>
      </c>
      <c r="L43" s="24" t="s">
        <v>300</v>
      </c>
    </row>
    <row r="44" ht="72.0" customHeight="1">
      <c r="A44" s="20" t="s">
        <v>301</v>
      </c>
      <c r="B44" s="21" t="s">
        <v>302</v>
      </c>
      <c r="C44" s="22">
        <v>4.0</v>
      </c>
      <c r="D44" s="22">
        <v>0.0</v>
      </c>
      <c r="E44" s="20" t="s">
        <v>203</v>
      </c>
      <c r="F44" s="20" t="s">
        <v>303</v>
      </c>
      <c r="G44" s="23" t="s">
        <v>57</v>
      </c>
      <c r="H44" s="23" t="s">
        <v>79</v>
      </c>
      <c r="I44" s="23">
        <v>0.9</v>
      </c>
      <c r="J44" s="23">
        <v>1.0</v>
      </c>
      <c r="K44" s="24" t="s">
        <v>127</v>
      </c>
      <c r="L44" s="24" t="s">
        <v>302</v>
      </c>
    </row>
    <row r="45" ht="72.0" customHeight="1">
      <c r="A45" s="20" t="s">
        <v>304</v>
      </c>
      <c r="B45" s="21" t="s">
        <v>284</v>
      </c>
      <c r="C45" s="22">
        <v>5.0</v>
      </c>
      <c r="D45" s="22">
        <v>0.0</v>
      </c>
      <c r="E45" s="20" t="s">
        <v>305</v>
      </c>
      <c r="F45" s="20" t="s">
        <v>306</v>
      </c>
      <c r="G45" s="23" t="s">
        <v>57</v>
      </c>
      <c r="H45" s="23" t="s">
        <v>79</v>
      </c>
      <c r="I45" s="23">
        <v>0.6</v>
      </c>
      <c r="J45" s="23">
        <v>1.0</v>
      </c>
      <c r="K45" s="24" t="s">
        <v>127</v>
      </c>
      <c r="L45" s="24" t="s">
        <v>284</v>
      </c>
    </row>
    <row r="46" ht="72.0" customHeight="1">
      <c r="A46" s="20" t="s">
        <v>307</v>
      </c>
      <c r="B46" s="21" t="s">
        <v>308</v>
      </c>
      <c r="C46" s="22">
        <v>5.0</v>
      </c>
      <c r="D46" s="22">
        <v>0.0</v>
      </c>
      <c r="E46" s="20" t="s">
        <v>309</v>
      </c>
      <c r="F46" s="20" t="s">
        <v>310</v>
      </c>
      <c r="G46" s="23" t="s">
        <v>38</v>
      </c>
      <c r="H46" s="23" t="s">
        <v>73</v>
      </c>
      <c r="I46" s="23">
        <v>0.1</v>
      </c>
      <c r="J46" s="23">
        <v>1.0</v>
      </c>
      <c r="K46" s="24" t="s">
        <v>311</v>
      </c>
      <c r="L46" s="24" t="s">
        <v>312</v>
      </c>
    </row>
    <row r="47" ht="72.0" customHeight="1">
      <c r="A47" s="20" t="s">
        <v>313</v>
      </c>
      <c r="B47" s="21" t="s">
        <v>314</v>
      </c>
      <c r="C47" s="22">
        <v>1.0</v>
      </c>
      <c r="D47" s="22">
        <v>0.0</v>
      </c>
      <c r="E47" s="20"/>
      <c r="F47" s="20" t="s">
        <v>315</v>
      </c>
      <c r="G47" s="23" t="s">
        <v>57</v>
      </c>
      <c r="H47" s="23" t="s">
        <v>68</v>
      </c>
      <c r="I47" s="23">
        <v>-1.0</v>
      </c>
      <c r="J47" s="23">
        <v>1.0</v>
      </c>
      <c r="K47" s="24" t="s">
        <v>127</v>
      </c>
      <c r="L47" s="24" t="s">
        <v>316</v>
      </c>
    </row>
    <row r="48" ht="72.0" customHeight="1">
      <c r="A48" s="20" t="s">
        <v>317</v>
      </c>
      <c r="B48" s="21" t="s">
        <v>318</v>
      </c>
      <c r="C48" s="22">
        <v>1.0</v>
      </c>
      <c r="D48" s="22">
        <v>0.0</v>
      </c>
      <c r="E48" s="20"/>
      <c r="F48" s="20" t="s">
        <v>319</v>
      </c>
      <c r="G48" s="23" t="s">
        <v>41</v>
      </c>
      <c r="H48" s="23" t="s">
        <v>68</v>
      </c>
      <c r="I48" s="23">
        <v>-1.0</v>
      </c>
      <c r="J48" s="23">
        <v>4.0</v>
      </c>
      <c r="K48" s="24" t="s">
        <v>320</v>
      </c>
      <c r="L48" s="24" t="s">
        <v>321</v>
      </c>
    </row>
    <row r="49" ht="72.0" customHeight="1">
      <c r="A49" s="20" t="s">
        <v>322</v>
      </c>
      <c r="B49" s="21" t="s">
        <v>323</v>
      </c>
      <c r="C49" s="22">
        <v>5.0</v>
      </c>
      <c r="D49" s="22">
        <v>0.0</v>
      </c>
      <c r="E49" s="20" t="s">
        <v>324</v>
      </c>
      <c r="F49" s="20" t="s">
        <v>325</v>
      </c>
      <c r="G49" s="23" t="s">
        <v>47</v>
      </c>
      <c r="H49" s="23" t="s">
        <v>79</v>
      </c>
      <c r="I49" s="23">
        <v>0.9</v>
      </c>
      <c r="J49" s="23">
        <v>1.0</v>
      </c>
      <c r="K49" s="24" t="s">
        <v>326</v>
      </c>
      <c r="L49" s="24" t="s">
        <v>327</v>
      </c>
    </row>
    <row r="50" ht="72.0" customHeight="1">
      <c r="A50" s="20" t="s">
        <v>328</v>
      </c>
      <c r="B50" s="21" t="s">
        <v>329</v>
      </c>
      <c r="C50" s="22">
        <v>2.0</v>
      </c>
      <c r="D50" s="22">
        <v>0.0</v>
      </c>
      <c r="E50" s="20" t="s">
        <v>171</v>
      </c>
      <c r="F50" s="20" t="s">
        <v>330</v>
      </c>
      <c r="G50" s="23" t="s">
        <v>44</v>
      </c>
      <c r="H50" s="23" t="s">
        <v>68</v>
      </c>
      <c r="I50" s="23">
        <v>-0.9</v>
      </c>
      <c r="J50" s="23">
        <v>3.0</v>
      </c>
      <c r="K50" s="24" t="s">
        <v>331</v>
      </c>
      <c r="L50" s="24" t="s">
        <v>332</v>
      </c>
    </row>
    <row r="51" ht="72.0" customHeight="1">
      <c r="A51" s="20" t="s">
        <v>333</v>
      </c>
      <c r="B51" s="21" t="s">
        <v>334</v>
      </c>
      <c r="C51" s="22">
        <v>1.0</v>
      </c>
      <c r="D51" s="22">
        <v>0.0</v>
      </c>
      <c r="E51" s="20" t="s">
        <v>335</v>
      </c>
      <c r="F51" s="20" t="s">
        <v>336</v>
      </c>
      <c r="G51" s="23" t="s">
        <v>38</v>
      </c>
      <c r="H51" s="23" t="s">
        <v>68</v>
      </c>
      <c r="I51" s="23">
        <v>-1.0</v>
      </c>
      <c r="J51" s="23">
        <v>1.0</v>
      </c>
      <c r="K51" s="24" t="s">
        <v>337</v>
      </c>
      <c r="L51" s="24" t="s">
        <v>338</v>
      </c>
    </row>
    <row r="52" ht="72.0" customHeight="1">
      <c r="A52" s="20" t="s">
        <v>339</v>
      </c>
      <c r="B52" s="21" t="s">
        <v>340</v>
      </c>
      <c r="C52" s="22">
        <v>1.0</v>
      </c>
      <c r="D52" s="22">
        <v>4.0</v>
      </c>
      <c r="E52" s="20" t="s">
        <v>275</v>
      </c>
      <c r="F52" s="20" t="s">
        <v>341</v>
      </c>
      <c r="G52" s="23" t="s">
        <v>38</v>
      </c>
      <c r="H52" s="23" t="s">
        <v>68</v>
      </c>
      <c r="I52" s="23">
        <v>-0.9</v>
      </c>
      <c r="J52" s="23">
        <v>4.0</v>
      </c>
      <c r="K52" s="24" t="s">
        <v>342</v>
      </c>
      <c r="L52" s="24" t="s">
        <v>343</v>
      </c>
    </row>
    <row r="53" ht="72.0" customHeight="1">
      <c r="A53" s="20" t="s">
        <v>344</v>
      </c>
      <c r="B53" s="21" t="s">
        <v>345</v>
      </c>
      <c r="C53" s="22">
        <v>1.0</v>
      </c>
      <c r="D53" s="22">
        <v>1.0</v>
      </c>
      <c r="E53" s="20"/>
      <c r="F53" s="20" t="s">
        <v>346</v>
      </c>
      <c r="G53" s="23" t="s">
        <v>38</v>
      </c>
      <c r="H53" s="23" t="s">
        <v>68</v>
      </c>
      <c r="I53" s="23">
        <v>-0.8</v>
      </c>
      <c r="J53" s="23">
        <v>2.0</v>
      </c>
      <c r="K53" s="24" t="s">
        <v>347</v>
      </c>
      <c r="L53" s="24" t="s">
        <v>348</v>
      </c>
    </row>
    <row r="54" ht="72.0" customHeight="1">
      <c r="A54" s="20" t="s">
        <v>349</v>
      </c>
      <c r="B54" s="21" t="s">
        <v>350</v>
      </c>
      <c r="C54" s="22">
        <v>4.0</v>
      </c>
      <c r="D54" s="22">
        <v>0.0</v>
      </c>
      <c r="E54" s="20" t="s">
        <v>161</v>
      </c>
      <c r="F54" s="20" t="s">
        <v>351</v>
      </c>
      <c r="G54" s="23" t="s">
        <v>57</v>
      </c>
      <c r="H54" s="23" t="s">
        <v>79</v>
      </c>
      <c r="I54" s="23">
        <v>0.8</v>
      </c>
      <c r="J54" s="23">
        <v>1.0</v>
      </c>
      <c r="K54" s="24" t="s">
        <v>127</v>
      </c>
      <c r="L54" s="24" t="s">
        <v>350</v>
      </c>
    </row>
    <row r="55" ht="72.0" customHeight="1">
      <c r="A55" s="20" t="s">
        <v>352</v>
      </c>
      <c r="B55" s="21" t="s">
        <v>353</v>
      </c>
      <c r="C55" s="22">
        <v>3.0</v>
      </c>
      <c r="D55" s="22">
        <v>0.0</v>
      </c>
      <c r="E55" s="20" t="s">
        <v>354</v>
      </c>
      <c r="F55" s="20" t="s">
        <v>355</v>
      </c>
      <c r="G55" s="23" t="s">
        <v>57</v>
      </c>
      <c r="H55" s="23" t="s">
        <v>79</v>
      </c>
      <c r="I55" s="23">
        <v>1.0</v>
      </c>
      <c r="J55" s="23">
        <v>1.0</v>
      </c>
      <c r="K55" s="24" t="s">
        <v>127</v>
      </c>
      <c r="L55" s="24" t="s">
        <v>353</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3">
    <cfRule type="expression" dxfId="0" priority="1">
      <formula>$H$3="YES"</formula>
    </cfRule>
  </conditionalFormatting>
  <dataValidations>
    <dataValidation type="list" allowBlank="1" sqref="J6:J55">
      <formula1>"1,2,3,4,5"</formula1>
    </dataValidation>
    <dataValidation type="list" allowBlank="1" sqref="H6:H55">
      <formula1>"cancellation,complaint,request,praise,unclear"</formula1>
    </dataValidation>
    <dataValidation type="list" allowBlank="1" sqref="G6:G55">
      <formula1>"access,usability,playback,downloads,catalog,billing,support,other"</formula1>
    </dataValidation>
    <dataValidation type="list" allowBlank="1" sqref="I6:I55">
      <formula1>"-1.0,-0.9,-0.8,-0.7,-0.6,-0.5,-0.4,-0.3,-0.2,-0.1,0.0,0.1,0.2,0.3,0.4,0.5,0.6,0.7,0.8,0.9,1.0"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48.0"/>
    <col customWidth="1" min="3" max="3" width="52.0"/>
    <col customWidth="1" min="4" max="4" width="36.0"/>
    <col customWidth="1" min="5" max="26" width="8.63"/>
  </cols>
  <sheetData>
    <row r="1">
      <c r="A1" s="1" t="s">
        <v>0</v>
      </c>
      <c r="B1" s="2"/>
      <c r="C1" s="2"/>
      <c r="D1" s="2"/>
    </row>
    <row r="2" ht="33.75" customHeight="1">
      <c r="A2" s="3" t="s">
        <v>2</v>
      </c>
      <c r="B2" s="4" t="s">
        <v>3</v>
      </c>
      <c r="C2" s="5"/>
      <c r="D2" s="5"/>
    </row>
    <row r="4">
      <c r="A4" s="6" t="s">
        <v>4</v>
      </c>
      <c r="B4" s="8" t="s">
        <v>6</v>
      </c>
      <c r="C4" s="8" t="s">
        <v>7</v>
      </c>
      <c r="D4" s="8" t="s">
        <v>8</v>
      </c>
    </row>
    <row r="5">
      <c r="A5" s="9">
        <v>1.0</v>
      </c>
      <c r="B5" s="10" t="s">
        <v>9</v>
      </c>
      <c r="C5" s="10" t="s">
        <v>10</v>
      </c>
      <c r="D5" s="11" t="s">
        <v>11</v>
      </c>
    </row>
    <row r="6">
      <c r="A6" s="9">
        <v>2.0</v>
      </c>
      <c r="B6" s="10" t="s">
        <v>12</v>
      </c>
      <c r="C6" s="10" t="s">
        <v>13</v>
      </c>
      <c r="D6" s="11" t="s">
        <v>14</v>
      </c>
    </row>
    <row r="7">
      <c r="A7" s="9">
        <v>3.0</v>
      </c>
      <c r="B7" s="10" t="s">
        <v>15</v>
      </c>
      <c r="C7" s="10" t="s">
        <v>16</v>
      </c>
      <c r="D7" s="11" t="s">
        <v>17</v>
      </c>
    </row>
    <row r="8">
      <c r="A8" s="9">
        <v>4.0</v>
      </c>
      <c r="B8" s="10" t="s">
        <v>18</v>
      </c>
      <c r="C8" s="10" t="s">
        <v>19</v>
      </c>
      <c r="D8" s="11" t="s">
        <v>20</v>
      </c>
    </row>
    <row r="9">
      <c r="A9" s="9">
        <v>5.0</v>
      </c>
      <c r="B9" s="10" t="s">
        <v>21</v>
      </c>
      <c r="C9" s="10" t="s">
        <v>22</v>
      </c>
      <c r="D9" s="11" t="s">
        <v>23</v>
      </c>
    </row>
    <row r="10">
      <c r="A10" s="9">
        <v>6.0</v>
      </c>
      <c r="B10" s="10" t="s">
        <v>24</v>
      </c>
      <c r="C10" s="10" t="s">
        <v>25</v>
      </c>
      <c r="D10" s="11" t="s">
        <v>26</v>
      </c>
    </row>
    <row r="11">
      <c r="A11" s="13"/>
      <c r="B11" s="13"/>
      <c r="C11" s="13"/>
      <c r="D11" s="14"/>
    </row>
    <row r="12">
      <c r="A12" s="15" t="s">
        <v>29</v>
      </c>
      <c r="B12" s="16" t="s">
        <v>30</v>
      </c>
      <c r="C12" s="16" t="s">
        <v>31</v>
      </c>
      <c r="D12" s="16" t="s">
        <v>33</v>
      </c>
    </row>
    <row r="13">
      <c r="A13" s="17" t="s">
        <v>34</v>
      </c>
      <c r="B13" s="10" t="s">
        <v>35</v>
      </c>
      <c r="C13" s="10" t="s">
        <v>36</v>
      </c>
      <c r="D13" s="11" t="s">
        <v>37</v>
      </c>
    </row>
    <row r="14">
      <c r="A14" s="17" t="s">
        <v>34</v>
      </c>
      <c r="B14" s="10" t="s">
        <v>38</v>
      </c>
      <c r="C14" s="10" t="s">
        <v>39</v>
      </c>
      <c r="D14" s="11" t="s">
        <v>40</v>
      </c>
    </row>
    <row r="15">
      <c r="A15" s="17" t="s">
        <v>34</v>
      </c>
      <c r="B15" s="10" t="s">
        <v>41</v>
      </c>
      <c r="C15" s="10" t="s">
        <v>42</v>
      </c>
      <c r="D15" s="11" t="s">
        <v>43</v>
      </c>
    </row>
    <row r="16">
      <c r="A16" s="17" t="s">
        <v>34</v>
      </c>
      <c r="B16" s="10" t="s">
        <v>44</v>
      </c>
      <c r="C16" s="10" t="s">
        <v>45</v>
      </c>
      <c r="D16" s="11" t="s">
        <v>46</v>
      </c>
    </row>
    <row r="17">
      <c r="A17" s="17" t="s">
        <v>34</v>
      </c>
      <c r="B17" s="10" t="s">
        <v>47</v>
      </c>
      <c r="C17" s="10" t="s">
        <v>48</v>
      </c>
      <c r="D17" s="11" t="s">
        <v>49</v>
      </c>
    </row>
    <row r="18">
      <c r="A18" s="17" t="s">
        <v>34</v>
      </c>
      <c r="B18" s="10" t="s">
        <v>50</v>
      </c>
      <c r="C18" s="10" t="s">
        <v>51</v>
      </c>
      <c r="D18" s="11" t="s">
        <v>52</v>
      </c>
    </row>
    <row r="19">
      <c r="A19" s="17" t="s">
        <v>34</v>
      </c>
      <c r="B19" s="10" t="s">
        <v>54</v>
      </c>
      <c r="C19" s="10" t="s">
        <v>55</v>
      </c>
      <c r="D19" s="11" t="s">
        <v>56</v>
      </c>
    </row>
    <row r="20">
      <c r="A20" s="17" t="s">
        <v>34</v>
      </c>
      <c r="B20" s="10" t="s">
        <v>57</v>
      </c>
      <c r="C20" s="10" t="s">
        <v>58</v>
      </c>
      <c r="D20" s="11" t="s">
        <v>59</v>
      </c>
    </row>
    <row r="21" ht="15.75" customHeight="1">
      <c r="A21" s="17" t="s">
        <v>61</v>
      </c>
      <c r="B21" s="10" t="s">
        <v>62</v>
      </c>
      <c r="C21" s="10" t="s">
        <v>63</v>
      </c>
      <c r="D21" s="11" t="s">
        <v>65</v>
      </c>
    </row>
    <row r="22" ht="15.75" customHeight="1">
      <c r="A22" s="17" t="s">
        <v>61</v>
      </c>
      <c r="B22" s="10" t="s">
        <v>68</v>
      </c>
      <c r="C22" s="10" t="s">
        <v>70</v>
      </c>
      <c r="D22" s="11" t="s">
        <v>71</v>
      </c>
    </row>
    <row r="23" ht="15.75" customHeight="1">
      <c r="A23" s="17" t="s">
        <v>61</v>
      </c>
      <c r="B23" s="10" t="s">
        <v>73</v>
      </c>
      <c r="C23" s="10" t="s">
        <v>74</v>
      </c>
      <c r="D23" s="11" t="s">
        <v>76</v>
      </c>
    </row>
    <row r="24" ht="15.75" customHeight="1">
      <c r="A24" s="17" t="s">
        <v>61</v>
      </c>
      <c r="B24" s="10" t="s">
        <v>79</v>
      </c>
      <c r="C24" s="10" t="s">
        <v>80</v>
      </c>
      <c r="D24" s="11" t="s">
        <v>81</v>
      </c>
    </row>
    <row r="25" ht="15.75" customHeight="1">
      <c r="A25" s="17" t="s">
        <v>61</v>
      </c>
      <c r="B25" s="10" t="s">
        <v>83</v>
      </c>
      <c r="C25" s="10" t="s">
        <v>84</v>
      </c>
      <c r="D25" s="11" t="s">
        <v>85</v>
      </c>
    </row>
    <row r="26" ht="15.75" customHeight="1">
      <c r="A26" s="17" t="s">
        <v>75</v>
      </c>
      <c r="B26" s="10" t="s">
        <v>86</v>
      </c>
      <c r="C26" s="10" t="s">
        <v>87</v>
      </c>
      <c r="D26" s="11" t="s">
        <v>89</v>
      </c>
    </row>
    <row r="27" ht="15.75" customHeight="1">
      <c r="A27" s="17" t="s">
        <v>75</v>
      </c>
      <c r="B27" s="10" t="s">
        <v>90</v>
      </c>
      <c r="C27" s="10" t="s">
        <v>91</v>
      </c>
      <c r="D27" s="11" t="s">
        <v>92</v>
      </c>
    </row>
    <row r="28" ht="15.75" customHeight="1">
      <c r="A28" s="17" t="s">
        <v>75</v>
      </c>
      <c r="B28" s="10" t="s">
        <v>93</v>
      </c>
      <c r="C28" s="10" t="s">
        <v>95</v>
      </c>
      <c r="D28" s="11" t="s">
        <v>96</v>
      </c>
    </row>
    <row r="29" ht="15.75" customHeight="1">
      <c r="A29" s="17" t="s">
        <v>75</v>
      </c>
      <c r="B29" s="10" t="s">
        <v>98</v>
      </c>
      <c r="C29" s="10" t="s">
        <v>99</v>
      </c>
      <c r="D29" s="11" t="s">
        <v>100</v>
      </c>
    </row>
    <row r="30" ht="15.75" customHeight="1">
      <c r="A30" s="17" t="s">
        <v>75</v>
      </c>
      <c r="B30" s="10" t="s">
        <v>101</v>
      </c>
      <c r="C30" s="10" t="s">
        <v>102</v>
      </c>
      <c r="D30" s="11" t="s">
        <v>103</v>
      </c>
    </row>
    <row r="31" ht="15.75" customHeight="1">
      <c r="A31" s="17" t="s">
        <v>72</v>
      </c>
      <c r="B31" s="10" t="s">
        <v>104</v>
      </c>
      <c r="C31" s="10" t="s">
        <v>105</v>
      </c>
      <c r="D31" s="11" t="s">
        <v>106</v>
      </c>
    </row>
    <row r="32" ht="15.75" customHeight="1">
      <c r="A32" s="17" t="s">
        <v>77</v>
      </c>
      <c r="B32" s="10" t="s">
        <v>107</v>
      </c>
      <c r="C32" s="10" t="s">
        <v>108</v>
      </c>
      <c r="D32" s="11" t="s">
        <v>109</v>
      </c>
    </row>
    <row r="33" ht="15.75" customHeight="1">
      <c r="A33" s="17" t="s">
        <v>78</v>
      </c>
      <c r="B33" s="10" t="s">
        <v>110</v>
      </c>
      <c r="C33" s="10" t="s">
        <v>111</v>
      </c>
      <c r="D33" s="11" t="s">
        <v>112</v>
      </c>
    </row>
    <row r="34" ht="15.75" customHeight="1">
      <c r="A34" s="17" t="s">
        <v>113</v>
      </c>
      <c r="B34" s="10" t="s">
        <v>115</v>
      </c>
      <c r="C34" s="10" t="s">
        <v>116</v>
      </c>
      <c r="D34" s="11" t="s">
        <v>117</v>
      </c>
    </row>
    <row r="35" ht="15.75" customHeight="1">
      <c r="A35" s="13"/>
      <c r="B35" s="13"/>
      <c r="C35" s="13"/>
      <c r="D35" s="14"/>
    </row>
    <row r="36" ht="15.75" customHeight="1">
      <c r="A36" s="25" t="s">
        <v>121</v>
      </c>
      <c r="B36" s="25" t="s">
        <v>124</v>
      </c>
      <c r="C36" s="25" t="s">
        <v>125</v>
      </c>
      <c r="D36" s="26" t="s">
        <v>126</v>
      </c>
    </row>
    <row r="37" ht="15.75" customHeight="1">
      <c r="A37" s="13"/>
      <c r="B37" s="13"/>
      <c r="C37" s="13"/>
      <c r="D37" s="14"/>
    </row>
    <row r="38" ht="15.75" customHeight="1">
      <c r="A38" s="27" t="s">
        <v>130</v>
      </c>
      <c r="B38" s="28" t="s">
        <v>133</v>
      </c>
      <c r="C38" s="28" t="s">
        <v>134</v>
      </c>
      <c r="D38" s="29" t="s">
        <v>135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