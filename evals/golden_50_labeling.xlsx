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9eb462afc242bf" /></Relationships>
</file>

<file path=xl/workbook.xml><?xml version="1.0" encoding="utf-8"?>
<x:workbook xmlns:x="http://schemas.openxmlformats.org/spreadsheetml/2006/main">
  <x:sheets>
    <x:sheet xmlns:r="http://schemas.openxmlformats.org/officeDocument/2006/relationships" name="Golden 50" sheetId="1" r:id="Rcfc588676f774744"/>
    <x:sheet xmlns:r="http://schemas.openxmlformats.org/officeDocument/2006/relationships" name="Guide" sheetId="2" r:id="R4e8d3fdd6b4e4da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1F1F1F"/>
      <x:name val="Arial"/>
    </x:font>
    <x:font>
      <x:i/>
      <x:sz val="10"/>
      <x:color rgb="FF595959"/>
      <x:name val="Arial"/>
    </x:font>
    <x:font>
      <x:b/>
      <x:sz val="10"/>
      <x:color rgb="FF1F1F1F"/>
      <x:name val="Arial"/>
    </x:font>
    <x:font>
      <x:b/>
      <x:sz val="10"/>
      <x:color rgb="FFFFFFFF"/>
      <x:name val="Arial"/>
    </x:font>
    <x:font>
      <x:sz val="10"/>
      <x:color rgb="FF1F1F1F"/>
      <x:name val="Arial"/>
    </x:font>
    <x:font>
      <x:b/>
      <x:i/>
      <x:sz val="10"/>
      <x:color rgb="FF595959"/>
      <x:name val="Arial"/>
    </x:font>
    <x:font>
      <x:b/>
      <x:sz val="10"/>
      <x:color rgb="FF7F6000"/>
      <x:name val="Arial"/>
    </x:font>
    <x:font>
      <x:sz val="9"/>
      <x:color rgb="FF595959"/>
      <x:name val="Arial"/>
    </x:font>
  </x:fonts>
  <x:fills count="7">
    <x:fill>
      <x:patternFill patternType="none"/>
    </x:fill>
    <x:fill>
      <x:patternFill patternType="gray125"/>
    </x:fill>
    <x:fill>
      <x:patternFill patternType="solid">
        <x:fgColor rgb="FFEAF2F8"/>
      </x:patternFill>
    </x:fill>
    <x:fill>
      <x:patternFill patternType="solid">
        <x:fgColor rgb="FF1F4E78"/>
      </x:patternFill>
    </x:fill>
    <x:fill>
      <x:patternFill patternType="solid">
        <x:fgColor rgb="FFF7F7F7"/>
      </x:patternFill>
    </x:fill>
    <x:fill>
      <x:patternFill patternType="solid">
        <x:fgColor rgb="FFFFF2CC"/>
      </x:patternFill>
    </x:fill>
    <x:fill>
      <x:patternFill patternType="solid">
        <x:fgColor rgb="FFF2F2F2"/>
      </x:patternFill>
    </x:fill>
  </x:fills>
  <x:borders count="13">
    <x:border/>
    <x:border>
      <x:bottom style="medium">
        <x:color rgb="FF1F4E78"/>
      </x:bottom>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D9E2F3"/>
      </x:bottom>
    </x:border>
    <x:border>
      <x:left style="thin">
        <x:color rgb="FFFFFFFF"/>
      </x:left>
      <x:right style="thin">
        <x:color rgb="FFFFFFFF"/>
      </x:right>
      <x:bottom style="thin">
        <x:color rgb="FFD9E2F3"/>
      </x:bottom>
    </x:border>
    <x:border>
      <x:top style="thin">
        <x:color rgb="FFD9E2F3"/>
      </x:top>
      <x:bottom style="thin">
        <x:color rgb="FFD9E2F3"/>
      </x:bottom>
    </x:border>
    <x:border>
      <x:right style="thin">
        <x:color rgb="FFFFFFFF"/>
      </x:right>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
      <x:left style="thin">
        <x:color rgb="FFFFFFFF"/>
      </x:left>
      <x:right style="thin">
        <x:color rgb="FFFFFFFF"/>
      </x:right>
      <x:top style="thin">
        <x:color rgb="FFD9E2F3"/>
      </x:top>
      <x:bottom style="thin">
        <x:color rgb="FFD9E2F3"/>
      </x:bottom>
    </x:border>
  </x:borders>
  <x:cellStyleXfs count="1">
    <x:xf numFmtId="0" fontId="0" fillId="0" borderId="0"/>
  </x:cellStyleXfs>
  <x:cellXfs count="81">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0"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2" xfId="0" applyNumberFormat="1" applyFont="1" applyFill="1" applyBorder="1" applyAlignment="1">
      <x:alignment horizontal="center" wrapText="1"/>
    </x:xf>
    <x:xf numFmtId="0" fontId="4" fillId="3" borderId="3" xfId="0" applyNumberFormat="1" applyFont="1" applyFill="1" applyBorder="1" applyAlignment="1">
      <x:alignment horizontal="center" wrapText="1"/>
    </x:xf>
    <x:xf numFmtId="0" fontId="4" fillId="3" borderId="4" xfId="0" applyNumberFormat="1" applyFont="1" applyFill="1" applyBorder="1" applyAlignment="1">
      <x:alignment horizont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4" borderId="0" xfId="0" applyNumberFormat="1" applyFont="1" applyFill="1" applyBorder="1" applyAlignment="1">
      <x:alignment vertical="top"/>
    </x:xf>
    <x:xf numFmtId="0" fontId="5" fillId="4" borderId="0" xfId="0" applyNumberFormat="1" applyFont="1" applyFill="1" applyBorder="1" applyAlignment="1">
      <x:alignment vertical="top" wrapText="1"/>
    </x:xf>
    <x:xf numFmtId="0" fontId="5" fillId="5" borderId="0" xfId="0" applyNumberFormat="1" applyFont="1" applyFill="1" applyBorder="1" applyAlignment="1">
      <x:alignment vertical="top"/>
    </x:xf>
    <x:xf numFmtId="0" fontId="5" fillId="5" borderId="0" xfId="0" applyNumberFormat="1" applyFont="1" applyFill="1" applyBorder="1" applyAlignment="1">
      <x:alignment vertical="top" wrapText="1"/>
    </x:xf>
    <x:xf numFmtId="0" fontId="5" fillId="6" borderId="0" xfId="0" applyNumberFormat="1" applyFont="1" applyFill="1" applyBorder="1" applyAlignment="1">
      <x:alignment vertical="top"/>
    </x:xf>
    <x:xf numFmtId="0" fontId="5" fillId="4" borderId="0" xfId="0" applyNumberFormat="1" applyFont="1" applyFill="1" applyBorder="1" applyAlignment="1">
      <x:alignment horizontal="center" vertical="top"/>
    </x:xf>
    <x:xf numFmtId="0" fontId="5" fillId="5" borderId="0" xfId="0" applyNumberFormat="1" applyFont="1" applyFill="1" applyBorder="1" applyAlignment="1">
      <x:alignment horizontal="center" vertical="top"/>
    </x:xf>
    <x:xf numFmtId="0" fontId="5" fillId="6" borderId="0" xfId="0" applyNumberFormat="1" applyFont="1" applyFill="1" applyBorder="1" applyAlignment="1">
      <x:alignment horizontal="center" vertical="top"/>
    </x:xf>
    <x:xf numFmtId="0" fontId="4" fillId="3" borderId="5" xfId="0" applyNumberFormat="1" applyFont="1" applyFill="1" applyBorder="1" applyAlignment="1">
      <x:alignment horizontal="center" vertical="center" wrapText="1"/>
    </x:xf>
    <x:xf numFmtId="0" fontId="4" fillId="3" borderId="6" xfId="0" applyNumberFormat="1" applyFont="1" applyFill="1" applyBorder="1" applyAlignment="1">
      <x:alignment horizontal="center" vertical="center" wrapText="1"/>
    </x:xf>
    <x:xf numFmtId="0" fontId="5" fillId="4" borderId="7" xfId="0" applyNumberFormat="1" applyFont="1" applyFill="1" applyBorder="1" applyAlignment="1">
      <x:alignment vertical="top"/>
    </x:xf>
    <x:xf numFmtId="0" fontId="5" fillId="4" borderId="7" xfId="0" applyNumberFormat="1" applyFont="1" applyFill="1" applyBorder="1" applyAlignment="1">
      <x:alignment vertical="top" wrapText="1"/>
    </x:xf>
    <x:xf numFmtId="0" fontId="5" fillId="4" borderId="7" xfId="0" applyNumberFormat="1" applyFont="1" applyFill="1" applyBorder="1" applyAlignment="1">
      <x:alignment horizontal="center" vertical="top"/>
    </x:xf>
    <x:xf numFmtId="0" fontId="5" fillId="5" borderId="7" xfId="0" applyNumberFormat="1" applyFont="1" applyFill="1" applyBorder="1" applyAlignment="1">
      <x:alignment horizontal="center" vertical="top"/>
    </x:xf>
    <x:xf numFmtId="0" fontId="5" fillId="5" borderId="7" xfId="0" applyNumberFormat="1" applyFont="1" applyFill="1" applyBorder="1" applyAlignment="1">
      <x:alignment vertical="top" wrapText="1"/>
    </x:xf>
    <x:xf numFmtId="0" fontId="5" fillId="6" borderId="8" xfId="0" applyNumberFormat="1" applyFont="1" applyFill="1" applyBorder="1" applyAlignment="1">
      <x:alignment horizontal="center" vertical="top"/>
    </x:xf>
    <x:xf numFmtId="0" fontId="6" fillId="0" borderId="0" xfId="0" applyNumberFormat="1" applyFont="1" applyFill="1" applyBorder="1"/>
    <x:xf numFmtId="0" fontId="2" fillId="0" borderId="0" xfId="0" applyNumberFormat="1" applyFont="1" applyFill="1" applyBorder="1" applyAlignment="1">
      <x:alignment wrapText="1"/>
    </x:xf>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4" fillId="3" borderId="4"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5"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9" xfId="0" applyNumberFormat="1" applyFont="1" applyFill="1" applyBorder="1" applyAlignment="1">
      <x:alignment vertical="top" wrapText="1"/>
    </x:xf>
    <x:xf numFmtId="0" fontId="7" fillId="5" borderId="10" xfId="0" applyNumberFormat="1" applyFont="1" applyFill="1" applyBorder="1" applyAlignment="1">
      <x:alignment vertical="top" wrapText="1"/>
    </x:xf>
    <x:xf numFmtId="0" fontId="7" fillId="5" borderId="11" xfId="0" applyNumberFormat="1" applyFont="1" applyFill="1" applyBorder="1" applyAlignment="1">
      <x:alignment vertical="top" wrapText="1"/>
    </x:xf>
    <x:xf numFmtId="0" fontId="8" fillId="0" borderId="0" xfId="0" applyNumberFormat="1" applyFont="1" applyFill="1" applyBorder="1"/>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0" fillId="0" borderId="7" xfId="0" applyNumberFormat="1" applyFont="1" applyFill="1" applyBorder="1"/>
    <x:xf numFmtId="0" fontId="0" fillId="0" borderId="8" xfId="0" applyNumberFormat="1" applyFont="1" applyFill="1" applyBorder="1"/>
    <x:xf numFmtId="0" fontId="4" fillId="3" borderId="8" xfId="0" applyNumberFormat="1" applyFont="1" applyFill="1" applyBorder="1" applyAlignment="1">
      <x:alignment horizontal="center" vertical="center"/>
    </x:xf>
    <x:xf numFmtId="0" fontId="4" fillId="3" borderId="12" xfId="0" applyNumberFormat="1" applyFont="1" applyFill="1" applyBorder="1" applyAlignment="1">
      <x:alignment horizontal="center" vertical="center"/>
    </x:xf>
    <x:xf numFmtId="0" fontId="3" fillId="0" borderId="7"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3" fillId="0" borderId="7" xfId="0" applyNumberFormat="1" applyFont="1" applyFill="1" applyBorder="1"/>
    <x:xf numFmtId="0" fontId="8" fillId="0" borderId="7" xfId="0" applyNumberFormat="1" applyFont="1" applyFill="1" applyBorder="1"/>
    <x:xf numFmtId="0" fontId="8" fillId="0" borderId="8" xfId="0" applyNumberFormat="1" applyFont="1" applyFill="1" applyBorder="1"/>
  </x:cellXfs>
  <x:cellStyles count="1">
    <x:cellStyle name="Normal" xfId="0"/>
  </x:cellStyles>
  <x:dxfs count="4">
    <x:dxf>
      <x:font>
        <x:b/>
        <x:color rgb="FF375623"/>
      </x:font>
      <x:fill>
        <x:patternFill patternType="solid">
          <x:bgColor rgb="FFE2F0D9"/>
        </x:patternFill>
      </x:fill>
    </x:dxf>
    <x:dxf>
      <x:font>
        <x:b/>
        <x:color rgb="FF7F6000"/>
      </x:font>
      <x:fill>
        <x:patternFill patternType="solid">
          <x:bgColor rgb="FFFFF2CC"/>
        </x:patternFill>
      </x:fill>
    </x:dxf>
    <x:dxf>
      <x:font>
        <x:b/>
        <x:color rgb="FFC00000"/>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0c244c447a4e21" /><Relationship Type="http://schemas.openxmlformats.org/officeDocument/2006/relationships/theme" Target="/xl/theme/theme1.xml" Id="Rc148f083c47c40ab" /><Relationship Type="http://schemas.openxmlformats.org/officeDocument/2006/relationships/sharedStrings" Target="/xl/sharedStrings.xml" Id="R06f3c2572bab4065" /><Relationship Type="http://schemas.openxmlformats.org/officeDocument/2006/relationships/worksheet" Target="/xl/worksheets/sheet1.xml" Id="Rcfc588676f774744" /><Relationship Type="http://schemas.openxmlformats.org/officeDocument/2006/relationships/worksheet" Target="/xl/worksheets/sheet2.xml" Id="R4e8d3fdd6b4e4d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8" hidden="0" customWidth="1"/>
    <x:col min="2" max="2" width="82" hidden="0" customWidth="1"/>
    <x:col min="3" max="3" width="11" hidden="0" customWidth="1"/>
    <x:col min="4" max="4" width="11" hidden="0" customWidth="1"/>
    <x:col min="5" max="5" width="18" hidden="0" customWidth="1"/>
    <x:col min="6" max="6" width="21" hidden="0" customWidth="1"/>
    <x:col min="7" max="7" width="15" hidden="0" customWidth="1"/>
    <x:col min="8" max="8" width="15" hidden="0" customWidth="1"/>
    <x:col min="9" max="9" width="12" hidden="0" customWidth="1"/>
    <x:col min="10" max="10" width="12" hidden="0" customWidth="1"/>
    <x:col min="11" max="11" width="30" hidden="0" customWidth="1"/>
    <x:col min="12" max="12" width="48" hidden="0" customWidth="1"/>
    <x:col min="13" max="13" width="16" hidden="0" customWidth="1"/>
    <x:col min="14" max="14" width="16" hidden="0" customWidth="1"/>
  </x:cols>
  <x:sheetData>
    <x:row r="1">
      <x:c r="A1" s="2" t="str">
        <x:v>Spotify golden set — 50 human labels</x:v>
      </x:c>
      <x:c r="B1" s="1"/>
      <x:c r="C1" s="1"/>
      <x:c r="D1" s="1"/>
      <x:c r="E1" s="1"/>
      <x:c r="F1" s="1"/>
      <x:c r="G1" s="1"/>
      <x:c r="H1" s="1"/>
      <x:c r="I1" s="1"/>
      <x:c r="J1" s="1"/>
      <x:c r="K1" s="1"/>
      <x:c r="L1" s="1"/>
      <x:c r="M1" s="1"/>
      <x:c r="N1" s="1"/>
    </x:row>
    <x:row r="2">
      <x:c r="A2" s="3" t="str">
        <x:v>レビュー本文だけを読み、黄色の欄を人手で入力してください。モデル予測は確認しないでください。</x:v>
      </x:c>
      <x:c r="B2" s="3"/>
      <x:c r="C2" s="3"/>
      <x:c r="D2" s="3"/>
      <x:c r="E2" s="3"/>
      <x:c r="F2" s="3"/>
      <x:c r="G2" s="3"/>
      <x:c r="H2" s="3"/>
      <x:c r="I2" s="3"/>
      <x:c r="J2" s="3"/>
      <x:c r="K2" s="3"/>
      <x:c r="L2" s="3"/>
      <x:c r="M2" s="3"/>
      <x:c r="N2" s="3"/>
    </x:row>
    <x:row r="3" ht="24" customHeight="1">
      <x:c r="A3" s="7" t="str">
        <x:v>Complete rows</x:v>
      </x:c>
      <x:c r="B3" s="8" t="n">
        <x:f>COUNTIF(N6:N55,"Complete")</x:f>
        <x:v>0</x:v>
      </x:c>
      <x:c r="C3" s="7" t="str">
        <x:v>Needs attention</x:v>
      </x:c>
      <x:c r="D3" s="7" t="n">
        <x:f>COUNTIF(N6:N55,"Incomplete")+COUNTIF(N6:N55,"Check inputs")</x:f>
        <x:v>0</x:v>
      </x:c>
      <x:c r="E3" s="7" t="str">
        <x:v>Not started</x:v>
      </x:c>
      <x:c r="F3" s="7" t="n">
        <x:f>COUNTIF(N6:N55,"Not started")</x:f>
        <x:v>50</x:v>
      </x:c>
      <x:c r="G3" s="7" t="str">
        <x:v>Ready for scoring</x:v>
      </x:c>
      <x:c r="H3" s="7" t="str">
        <x:f>IF(B3=50,"YES","NO")</x:f>
        <x:v>NO</x:v>
      </x:c>
    </x:row>
    <x:row r="5" ht="32" customHeight="1">
      <x:c r="A5" s="34" t="str">
        <x:v>review_id</x:v>
      </x:c>
      <x:c r="B5" s="35" t="str">
        <x:v>review_text</x:v>
      </x:c>
      <x:c r="C5" s="35" t="str">
        <x:v>review_rating</x:v>
      </x:c>
      <x:c r="D5" s="35" t="str">
        <x:v>review_likes</x:v>
      </x:c>
      <x:c r="E5" s="35" t="str">
        <x:v>app_version</x:v>
      </x:c>
      <x:c r="F5" s="35" t="str">
        <x:v>review_timestamp</x:v>
      </x:c>
      <x:c r="G5" s="35" t="str">
        <x:v>topic</x:v>
      </x:c>
      <x:c r="H5" s="35" t="str">
        <x:v>intent</x:v>
      </x:c>
      <x:c r="I5" s="35" t="str">
        <x:v>sentiment</x:v>
      </x:c>
      <x:c r="J5" s="35" t="str">
        <x:v>severity</x:v>
      </x:c>
      <x:c r="K5" s="35" t="str">
        <x:v>entities</x:v>
      </x:c>
      <x:c r="L5" s="35" t="str">
        <x:v>evidence_quote</x:v>
      </x:c>
      <x:c r="M5" s="35" t="str">
        <x:v>needs_review</x:v>
      </x:c>
      <x:c r="N5" s="35" t="str">
        <x:v>row_check</x:v>
      </x:c>
    </x:row>
    <x:row r="6" ht="72" customHeight="1">
      <x:c r="A6" s="36" t="str">
        <x:v>292ce26a-815d-4bce-a3b6-93cb6c9e7e2c</x:v>
      </x:c>
      <x:c r="B6" s="37" t="str">
        <x:v>Staff must be full of mentally ill kool-aid heads. Banning conservative music that speaks truth. Spotify is doing all they can to protect pedophiles, by banning Christian songs discussing the path the devil leads you down. Pride is a sin.</x:v>
      </x:c>
      <x:c r="C6" s="38" t="n">
        <x:v>1</x:v>
      </x:c>
      <x:c r="D6" s="38" t="n">
        <x:v>1</x:v>
      </x:c>
      <x:c r="E6" s="36" t="str">
        <x:v>8.7.40.777</x:v>
      </x:c>
      <x:c r="F6" s="36" t="str">
        <x:v>2022-06-21 20:13:46</x:v>
      </x:c>
      <x:c r="G6" s="39" t="str"/>
      <x:c r="H6" s="39" t="str"/>
      <x:c r="I6" s="39"/>
      <x:c r="J6" s="39"/>
      <x:c r="K6" s="40" t="str"/>
      <x:c r="L6" s="40" t="str"/>
      <x:c r="M6" s="39" t="str"/>
      <x:c r="N6" s="41" t="str">
        <x:f>IF(COUNTBLANK(G6:M6)=7,"Not started",IF(COUNTBLANK(G6:M6)&gt;0,"Incomplete",IF(AND(ISNUMBER(FIND(L6,B6)),OR(M6="true",M6="false"),IFERROR(VALUE(I6)&gt;=-1,FALSE),IFERROR(VALUE(I6)&lt;=1,FALSE),IFERROR(VALUE(J6)&gt;=1,FALSE),IFERROR(VALUE(J6)&lt;=5,FALSE),LEFT(K6,1)="[",RIGHT(K6,1)="]"),"Complete","Check inputs")))</x:f>
        <x:v>Not started</x:v>
      </x:c>
    </x:row>
    <x:row r="7" ht="72" customHeight="1">
      <x:c r="A7" s="36" t="str">
        <x:v>a70e8d3e-3f84-46bc-b008-67f476c67963</x:v>
      </x:c>
      <x:c r="B7" s="37" t="str">
        <x:v>Great app use it every chance I get</x:v>
      </x:c>
      <x:c r="C7" s="38" t="n">
        <x:v>5</x:v>
      </x:c>
      <x:c r="D7" s="38" t="n">
        <x:v>0</x:v>
      </x:c>
      <x:c r="E7" s="36" t="str">
        <x:v>8.8.66.563</x:v>
      </x:c>
      <x:c r="F7" s="36" t="str">
        <x:v>2023-09-24 21:01:09</x:v>
      </x:c>
      <x:c r="G7" s="39" t="str"/>
      <x:c r="H7" s="39" t="str"/>
      <x:c r="I7" s="39"/>
      <x:c r="J7" s="39"/>
      <x:c r="K7" s="40" t="str"/>
      <x:c r="L7" s="40" t="str"/>
      <x:c r="M7" s="39" t="str"/>
      <x:c r="N7" s="41" t="str">
        <x:f>IF(COUNTBLANK(G7:M7)=7,"Not started",IF(COUNTBLANK(G7:M7)&gt;0,"Incomplete",IF(AND(ISNUMBER(FIND(L7,B7)),OR(M7="true",M7="false"),IFERROR(VALUE(I7)&gt;=-1,FALSE),IFERROR(VALUE(I7)&lt;=1,FALSE),IFERROR(VALUE(J7)&gt;=1,FALSE),IFERROR(VALUE(J7)&lt;=5,FALSE),LEFT(K7,1)="[",RIGHT(K7,1)="]"),"Complete","Check inputs")))</x:f>
        <x:v>Not started</x:v>
      </x:c>
    </x:row>
    <x:row r="8" ht="72" customHeight="1">
      <x:c r="A8" s="36" t="str">
        <x:v>0d4f8b48-74c1-4e2a-89b5-11eaa737027e</x:v>
      </x:c>
      <x:c r="B8" s="37" t="str">
        <x:v>It's really an amazing experience with Spotify...I love it🥰</x:v>
      </x:c>
      <x:c r="C8" s="38" t="n">
        <x:v>5</x:v>
      </x:c>
      <x:c r="D8" s="38" t="n">
        <x:v>0</x:v>
      </x:c>
      <x:c r="E8" s="36" t="str">
        <x:v>8.8.68.565</x:v>
      </x:c>
      <x:c r="F8" s="36" t="str">
        <x:v>2023-09-28 08:06:22</x:v>
      </x:c>
      <x:c r="G8" s="39" t="str"/>
      <x:c r="H8" s="39" t="str"/>
      <x:c r="I8" s="39"/>
      <x:c r="J8" s="39"/>
      <x:c r="K8" s="40" t="str"/>
      <x:c r="L8" s="40" t="str"/>
      <x:c r="M8" s="39" t="str"/>
      <x:c r="N8" s="41" t="str">
        <x:f>IF(COUNTBLANK(G8:M8)=7,"Not started",IF(COUNTBLANK(G8:M8)&gt;0,"Incomplete",IF(AND(ISNUMBER(FIND(L8,B8)),OR(M8="true",M8="false"),IFERROR(VALUE(I8)&gt;=-1,FALSE),IFERROR(VALUE(I8)&lt;=1,FALSE),IFERROR(VALUE(J8)&gt;=1,FALSE),IFERROR(VALUE(J8)&lt;=5,FALSE),LEFT(K8,1)="[",RIGHT(K8,1)="]"),"Complete","Check inputs")))</x:f>
        <x:v>Not started</x:v>
      </x:c>
    </x:row>
    <x:row r="9" ht="72" customHeight="1">
      <x:c r="A9" s="36" t="str">
        <x:v>991b6b3a-f511-458a-a5b7-234f78048fb5</x:v>
      </x:c>
      <x:c r="B9" s="37" t="str">
        <x:v>Ads were okay, but limited functionality..it's just too much</x:v>
      </x:c>
      <x:c r="C9" s="38" t="n">
        <x:v>1</x:v>
      </x:c>
      <x:c r="D9" s="38" t="n">
        <x:v>0</x:v>
      </x:c>
      <x:c r="E9" s="36" t="str">
        <x:v>8.8.76.667</x:v>
      </x:c>
      <x:c r="F9" s="36" t="str">
        <x:v>2023-10-14 05:58:07</x:v>
      </x:c>
      <x:c r="G9" s="39" t="str"/>
      <x:c r="H9" s="39" t="str"/>
      <x:c r="I9" s="39"/>
      <x:c r="J9" s="39"/>
      <x:c r="K9" s="40" t="str"/>
      <x:c r="L9" s="40" t="str"/>
      <x:c r="M9" s="39" t="str"/>
      <x:c r="N9" s="41" t="str">
        <x:f>IF(COUNTBLANK(G9:M9)=7,"Not started",IF(COUNTBLANK(G9:M9)&gt;0,"Incomplete",IF(AND(ISNUMBER(FIND(L9,B9)),OR(M9="true",M9="false"),IFERROR(VALUE(I9)&gt;=-1,FALSE),IFERROR(VALUE(I9)&lt;=1,FALSE),IFERROR(VALUE(J9)&gt;=1,FALSE),IFERROR(VALUE(J9)&lt;=5,FALSE),LEFT(K9,1)="[",RIGHT(K9,1)="]"),"Complete","Check inputs")))</x:f>
        <x:v>Not started</x:v>
      </x:c>
    </x:row>
    <x:row r="10" ht="72" customHeight="1">
      <x:c r="A10" s="36" t="str">
        <x:v>599a0d41-989a-40ef-8ed2-e92db76eea46</x:v>
      </x:c>
      <x:c r="B10" s="37" t="str">
        <x:v>I just loved it</x:v>
      </x:c>
      <x:c r="C10" s="38" t="n">
        <x:v>5</x:v>
      </x:c>
      <x:c r="D10" s="38" t="n">
        <x:v>0</x:v>
      </x:c>
      <x:c r="E10" s="36" t="str">
        <x:v>8.8.6.472</x:v>
      </x:c>
      <x:c r="F10" s="36" t="str">
        <x:v>2023-02-05 00:50:53</x:v>
      </x:c>
      <x:c r="G10" s="39" t="str"/>
      <x:c r="H10" s="39" t="str"/>
      <x:c r="I10" s="39"/>
      <x:c r="J10" s="39"/>
      <x:c r="K10" s="40" t="str"/>
      <x:c r="L10" s="40" t="str"/>
      <x:c r="M10" s="39" t="str"/>
      <x:c r="N10" s="41" t="str">
        <x:f>IF(COUNTBLANK(G10:M10)=7,"Not started",IF(COUNTBLANK(G10:M10)&gt;0,"Incomplete",IF(AND(ISNUMBER(FIND(L10,B10)),OR(M10="true",M10="false"),IFERROR(VALUE(I10)&gt;=-1,FALSE),IFERROR(VALUE(I10)&lt;=1,FALSE),IFERROR(VALUE(J10)&gt;=1,FALSE),IFERROR(VALUE(J10)&lt;=5,FALSE),LEFT(K10,1)="[",RIGHT(K10,1)="]"),"Complete","Check inputs")))</x:f>
        <x:v>Not started</x:v>
      </x:c>
    </x:row>
    <x:row r="11" ht="72" customHeight="1">
      <x:c r="A11" s="36" t="str">
        <x:v>0c6ca545-3f89-4da6-b3db-1a352371fb6e</x:v>
      </x:c>
      <x:c r="B11" s="37" t="str">
        <x:v>Hate this application 🤮🤮🤮🤮🤮🤮</x:v>
      </x:c>
      <x:c r="C11" s="38" t="n">
        <x:v>1</x:v>
      </x:c>
      <x:c r="D11" s="38" t="n">
        <x:v>0</x:v>
      </x:c>
      <x:c r="E11" s="36" t="str"/>
      <x:c r="F11" s="36" t="str">
        <x:v>2023-07-07 22:13:54</x:v>
      </x:c>
      <x:c r="G11" s="39" t="str"/>
      <x:c r="H11" s="39" t="str"/>
      <x:c r="I11" s="39"/>
      <x:c r="J11" s="39"/>
      <x:c r="K11" s="40" t="str"/>
      <x:c r="L11" s="40" t="str"/>
      <x:c r="M11" s="39" t="str"/>
      <x:c r="N11" s="41" t="str">
        <x:f>IF(COUNTBLANK(G11:M11)=7,"Not started",IF(COUNTBLANK(G11:M11)&gt;0,"Incomplete",IF(AND(ISNUMBER(FIND(L11,B11)),OR(M11="true",M11="false"),IFERROR(VALUE(I11)&gt;=-1,FALSE),IFERROR(VALUE(I11)&lt;=1,FALSE),IFERROR(VALUE(J11)&gt;=1,FALSE),IFERROR(VALUE(J11)&lt;=5,FALSE),LEFT(K11,1)="[",RIGHT(K11,1)="]"),"Complete","Check inputs")))</x:f>
        <x:v>Not started</x:v>
      </x:c>
    </x:row>
    <x:row r="12" ht="72" customHeight="1">
      <x:c r="A12" s="36" t="str">
        <x:v>111f9048-f7bd-4be0-813e-76b8fc49f73f</x:v>
      </x:c>
      <x:c r="B12" s="37" t="str">
        <x:v>Excellent</x:v>
      </x:c>
      <x:c r="C12" s="38" t="n">
        <x:v>5</x:v>
      </x:c>
      <x:c r="D12" s="38" t="n">
        <x:v>0</x:v>
      </x:c>
      <x:c r="E12" s="36" t="str">
        <x:v>8.7.78.373</x:v>
      </x:c>
      <x:c r="F12" s="36" t="str">
        <x:v>2022-11-13 18:52:23</x:v>
      </x:c>
      <x:c r="G12" s="39" t="str"/>
      <x:c r="H12" s="39" t="str"/>
      <x:c r="I12" s="39"/>
      <x:c r="J12" s="39"/>
      <x:c r="K12" s="40" t="str"/>
      <x:c r="L12" s="40" t="str"/>
      <x:c r="M12" s="39" t="str"/>
      <x:c r="N12" s="41" t="str">
        <x:f>IF(COUNTBLANK(G12:M12)=7,"Not started",IF(COUNTBLANK(G12:M12)&gt;0,"Incomplete",IF(AND(ISNUMBER(FIND(L12,B12)),OR(M12="true",M12="false"),IFERROR(VALUE(I12)&gt;=-1,FALSE),IFERROR(VALUE(I12)&lt;=1,FALSE),IFERROR(VALUE(J12)&gt;=1,FALSE),IFERROR(VALUE(J12)&lt;=5,FALSE),LEFT(K12,1)="[",RIGHT(K12,1)="]"),"Complete","Check inputs")))</x:f>
        <x:v>Not started</x:v>
      </x:c>
    </x:row>
    <x:row r="13" ht="72" customHeight="1">
      <x:c r="A13" s="36" t="str">
        <x:v>b567f70c-edba-4922-ac2a-e945e5eb3472</x:v>
      </x:c>
      <x:c r="B13" s="37" t="str">
        <x:v>good ❤❤🔊🔊</x:v>
      </x:c>
      <x:c r="C13" s="38" t="n">
        <x:v>5</x:v>
      </x:c>
      <x:c r="D13" s="38" t="n">
        <x:v>0</x:v>
      </x:c>
      <x:c r="E13" s="36" t="str"/>
      <x:c r="F13" s="36" t="str">
        <x:v>2022-06-24 23:34:51</x:v>
      </x:c>
      <x:c r="G13" s="39" t="str"/>
      <x:c r="H13" s="39" t="str"/>
      <x:c r="I13" s="39"/>
      <x:c r="J13" s="39"/>
      <x:c r="K13" s="40" t="str"/>
      <x:c r="L13" s="40" t="str"/>
      <x:c r="M13" s="39" t="str"/>
      <x:c r="N13" s="41" t="str">
        <x:f>IF(COUNTBLANK(G13:M13)=7,"Not started",IF(COUNTBLANK(G13:M13)&gt;0,"Incomplete",IF(AND(ISNUMBER(FIND(L13,B13)),OR(M13="true",M13="false"),IFERROR(VALUE(I13)&gt;=-1,FALSE),IFERROR(VALUE(I13)&lt;=1,FALSE),IFERROR(VALUE(J13)&gt;=1,FALSE),IFERROR(VALUE(J13)&lt;=5,FALSE),LEFT(K13,1)="[",RIGHT(K13,1)="]"),"Complete","Check inputs")))</x:f>
        <x:v>Not started</x:v>
      </x:c>
    </x:row>
    <x:row r="14" ht="72" customHeight="1">
      <x:c r="A14" s="36" t="str">
        <x:v>b5ee7834-a0eb-4c15-9c7b-935831021922</x:v>
      </x:c>
      <x:c r="B14" s="37" t="str">
        <x:v>Spotify is awesome and and very diverse :)</x:v>
      </x:c>
      <x:c r="C14" s="38" t="n">
        <x:v>5</x:v>
      </x:c>
      <x:c r="D14" s="38" t="n">
        <x:v>0</x:v>
      </x:c>
      <x:c r="E14" s="36" t="str">
        <x:v>8.8.74.652</x:v>
      </x:c>
      <x:c r="F14" s="36" t="str">
        <x:v>2023-09-29 15:18:24</x:v>
      </x:c>
      <x:c r="G14" s="39" t="str"/>
      <x:c r="H14" s="39" t="str"/>
      <x:c r="I14" s="39"/>
      <x:c r="J14" s="39"/>
      <x:c r="K14" s="40" t="str"/>
      <x:c r="L14" s="40" t="str"/>
      <x:c r="M14" s="39" t="str"/>
      <x:c r="N14" s="41" t="str">
        <x:f>IF(COUNTBLANK(G14:M14)=7,"Not started",IF(COUNTBLANK(G14:M14)&gt;0,"Incomplete",IF(AND(ISNUMBER(FIND(L14,B14)),OR(M14="true",M14="false"),IFERROR(VALUE(I14)&gt;=-1,FALSE),IFERROR(VALUE(I14)&lt;=1,FALSE),IFERROR(VALUE(J14)&gt;=1,FALSE),IFERROR(VALUE(J14)&lt;=5,FALSE),LEFT(K14,1)="[",RIGHT(K14,1)="]"),"Complete","Check inputs")))</x:f>
        <x:v>Not started</x:v>
      </x:c>
    </x:row>
    <x:row r="15" ht="72" customHeight="1">
      <x:c r="A15" s="36" t="str">
        <x:v>1fc8b08f-7d6a-472f-b317-8ceb28d00f22</x:v>
      </x:c>
      <x:c r="B15" s="37" t="str">
        <x:v>Duo Premium .... No ads at all!</x:v>
      </x:c>
      <x:c r="C15" s="38" t="n">
        <x:v>5</x:v>
      </x:c>
      <x:c r="D15" s="38" t="n">
        <x:v>0</x:v>
      </x:c>
      <x:c r="E15" s="36" t="str">
        <x:v>8.7.68.568</x:v>
      </x:c>
      <x:c r="F15" s="36" t="str">
        <x:v>2022-09-26 16:32:29</x:v>
      </x:c>
      <x:c r="G15" s="39" t="str"/>
      <x:c r="H15" s="39" t="str"/>
      <x:c r="I15" s="39"/>
      <x:c r="J15" s="39"/>
      <x:c r="K15" s="40" t="str"/>
      <x:c r="L15" s="40" t="str"/>
      <x:c r="M15" s="39" t="str"/>
      <x:c r="N15" s="41" t="str">
        <x:f>IF(COUNTBLANK(G15:M15)=7,"Not started",IF(COUNTBLANK(G15:M15)&gt;0,"Incomplete",IF(AND(ISNUMBER(FIND(L15,B15)),OR(M15="true",M15="false"),IFERROR(VALUE(I15)&gt;=-1,FALSE),IFERROR(VALUE(I15)&lt;=1,FALSE),IFERROR(VALUE(J15)&gt;=1,FALSE),IFERROR(VALUE(J15)&lt;=5,FALSE),LEFT(K15,1)="[",RIGHT(K15,1)="]"),"Complete","Check inputs")))</x:f>
        <x:v>Not started</x:v>
      </x:c>
    </x:row>
    <x:row r="16" ht="72" customHeight="1">
      <x:c r="A16" s="36" t="str">
        <x:v>947821dc-b356-45dc-a0bc-1903728fad40</x:v>
      </x:c>
      <x:c r="B16" s="37" t="str">
        <x:v>Very good but wen I play my song it o ly plays a little bit then it stops I updated my phone and it worked but it happend again they need to fix this issue</x:v>
      </x:c>
      <x:c r="C16" s="38" t="n">
        <x:v>3</x:v>
      </x:c>
      <x:c r="D16" s="38" t="n">
        <x:v>1</x:v>
      </x:c>
      <x:c r="E16" s="36" t="str">
        <x:v>8.7.56.421</x:v>
      </x:c>
      <x:c r="F16" s="36" t="str">
        <x:v>2022-08-16 23:36:02</x:v>
      </x:c>
      <x:c r="G16" s="39" t="str"/>
      <x:c r="H16" s="39" t="str"/>
      <x:c r="I16" s="39"/>
      <x:c r="J16" s="39"/>
      <x:c r="K16" s="40" t="str"/>
      <x:c r="L16" s="40" t="str"/>
      <x:c r="M16" s="39" t="str"/>
      <x:c r="N16" s="41" t="str">
        <x:f>IF(COUNTBLANK(G16:M16)=7,"Not started",IF(COUNTBLANK(G16:M16)&gt;0,"Incomplete",IF(AND(ISNUMBER(FIND(L16,B16)),OR(M16="true",M16="false"),IFERROR(VALUE(I16)&gt;=-1,FALSE),IFERROR(VALUE(I16)&lt;=1,FALSE),IFERROR(VALUE(J16)&gt;=1,FALSE),IFERROR(VALUE(J16)&lt;=5,FALSE),LEFT(K16,1)="[",RIGHT(K16,1)="]"),"Complete","Check inputs")))</x:f>
        <x:v>Not started</x:v>
      </x:c>
    </x:row>
    <x:row r="17" ht="72" customHeight="1">
      <x:c r="A17" s="36" t="str">
        <x:v>723f07de-9881-4049-8680-1a9e25652914</x:v>
      </x:c>
      <x:c r="B17" s="37" t="str">
        <x:v>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x:v>
      </x:c>
      <x:c r="C17" s="38" t="n">
        <x:v>5</x:v>
      </x:c>
      <x:c r="D17" s="38" t="n">
        <x:v>13</x:v>
      </x:c>
      <x:c r="E17" s="36" t="str">
        <x:v>8.8.58.473</x:v>
      </x:c>
      <x:c r="F17" s="36" t="str">
        <x:v>2023-08-06 01:09:49</x:v>
      </x:c>
      <x:c r="G17" s="39" t="str"/>
      <x:c r="H17" s="39" t="str"/>
      <x:c r="I17" s="39"/>
      <x:c r="J17" s="39"/>
      <x:c r="K17" s="40" t="str"/>
      <x:c r="L17" s="40" t="str"/>
      <x:c r="M17" s="39" t="str"/>
      <x:c r="N17" s="41" t="str">
        <x:f>IF(COUNTBLANK(G17:M17)=7,"Not started",IF(COUNTBLANK(G17:M17)&gt;0,"Incomplete",IF(AND(ISNUMBER(FIND(L17,B17)),OR(M17="true",M17="false"),IFERROR(VALUE(I17)&gt;=-1,FALSE),IFERROR(VALUE(I17)&lt;=1,FALSE),IFERROR(VALUE(J17)&gt;=1,FALSE),IFERROR(VALUE(J17)&lt;=5,FALSE),LEFT(K17,1)="[",RIGHT(K17,1)="]"),"Complete","Check inputs")))</x:f>
        <x:v>Not started</x:v>
      </x:c>
    </x:row>
    <x:row r="18" ht="72" customHeight="1">
      <x:c r="A18" s="36" t="str">
        <x:v>47428620-ec21-424d-a515-0b0b0012a5cf</x:v>
      </x:c>
      <x:c r="B18" s="37" t="str">
        <x:v>This app is bad work</x:v>
      </x:c>
      <x:c r="C18" s="38" t="n">
        <x:v>1</x:v>
      </x:c>
      <x:c r="D18" s="38" t="n">
        <x:v>0</x:v>
      </x:c>
      <x:c r="E18" s="36" t="str"/>
      <x:c r="F18" s="36" t="str">
        <x:v>2023-03-14 03:56:43</x:v>
      </x:c>
      <x:c r="G18" s="39" t="str"/>
      <x:c r="H18" s="39" t="str"/>
      <x:c r="I18" s="39"/>
      <x:c r="J18" s="39"/>
      <x:c r="K18" s="40" t="str"/>
      <x:c r="L18" s="40" t="str"/>
      <x:c r="M18" s="39" t="str"/>
      <x:c r="N18" s="41" t="str">
        <x:f>IF(COUNTBLANK(G18:M18)=7,"Not started",IF(COUNTBLANK(G18:M18)&gt;0,"Incomplete",IF(AND(ISNUMBER(FIND(L18,B18)),OR(M18="true",M18="false"),IFERROR(VALUE(I18)&gt;=-1,FALSE),IFERROR(VALUE(I18)&lt;=1,FALSE),IFERROR(VALUE(J18)&gt;=1,FALSE),IFERROR(VALUE(J18)&lt;=5,FALSE),LEFT(K18,1)="[",RIGHT(K18,1)="]"),"Complete","Check inputs")))</x:f>
        <x:v>Not started</x:v>
      </x:c>
    </x:row>
    <x:row r="19" ht="72" customHeight="1">
      <x:c r="A19" s="36" t="str">
        <x:v>fc344263-308d-48a1-9715-c380d063b6de</x:v>
      </x:c>
      <x:c r="B19" s="37" t="str">
        <x:v>Great...</x:v>
      </x:c>
      <x:c r="C19" s="38" t="n">
        <x:v>5</x:v>
      </x:c>
      <x:c r="D19" s="38" t="n">
        <x:v>0</x:v>
      </x:c>
      <x:c r="E19" s="36" t="str">
        <x:v>8.8.2.434</x:v>
      </x:c>
      <x:c r="F19" s="36" t="str">
        <x:v>2023-02-10 18:26:42</x:v>
      </x:c>
      <x:c r="G19" s="39" t="str"/>
      <x:c r="H19" s="39" t="str"/>
      <x:c r="I19" s="39"/>
      <x:c r="J19" s="39"/>
      <x:c r="K19" s="40" t="str"/>
      <x:c r="L19" s="40" t="str"/>
      <x:c r="M19" s="39" t="str"/>
      <x:c r="N19" s="41" t="str">
        <x:f>IF(COUNTBLANK(G19:M19)=7,"Not started",IF(COUNTBLANK(G19:M19)&gt;0,"Incomplete",IF(AND(ISNUMBER(FIND(L19,B19)),OR(M19="true",M19="false"),IFERROR(VALUE(I19)&gt;=-1,FALSE),IFERROR(VALUE(I19)&lt;=1,FALSE),IFERROR(VALUE(J19)&gt;=1,FALSE),IFERROR(VALUE(J19)&lt;=5,FALSE),LEFT(K19,1)="[",RIGHT(K19,1)="]"),"Complete","Check inputs")))</x:f>
        <x:v>Not started</x:v>
      </x:c>
    </x:row>
    <x:row r="20" ht="72" customHeight="1">
      <x:c r="A20" s="36" t="str">
        <x:v>6112667b-3d71-475c-b1a4-159b87f73d2b</x:v>
      </x:c>
      <x:c r="B20" s="37" t="str">
        <x:v>Super</x:v>
      </x:c>
      <x:c r="C20" s="38" t="n">
        <x:v>5</x:v>
      </x:c>
      <x:c r="D20" s="38" t="n">
        <x:v>0</x:v>
      </x:c>
      <x:c r="E20" s="36" t="str"/>
      <x:c r="F20" s="36" t="str">
        <x:v>2022-05-31 10:50:59</x:v>
      </x:c>
      <x:c r="G20" s="39" t="str"/>
      <x:c r="H20" s="39" t="str"/>
      <x:c r="I20" s="39"/>
      <x:c r="J20" s="39"/>
      <x:c r="K20" s="40" t="str"/>
      <x:c r="L20" s="40" t="str"/>
      <x:c r="M20" s="39" t="str"/>
      <x:c r="N20" s="41" t="str">
        <x:f>IF(COUNTBLANK(G20:M20)=7,"Not started",IF(COUNTBLANK(G20:M20)&gt;0,"Incomplete",IF(AND(ISNUMBER(FIND(L20,B20)),OR(M20="true",M20="false"),IFERROR(VALUE(I20)&gt;=-1,FALSE),IFERROR(VALUE(I20)&lt;=1,FALSE),IFERROR(VALUE(J20)&gt;=1,FALSE),IFERROR(VALUE(J20)&lt;=5,FALSE),LEFT(K20,1)="[",RIGHT(K20,1)="]"),"Complete","Check inputs")))</x:f>
        <x:v>Not started</x:v>
      </x:c>
    </x:row>
    <x:row r="21" ht="72" customHeight="1">
      <x:c r="A21" s="36" t="str">
        <x:v>01d453b0-dca3-42e9-8aa4-5fc167b08070</x:v>
      </x:c>
      <x:c r="B21" s="37" t="str">
        <x:v>I like it but god I hate it when the music Interrupts my ads</x:v>
      </x:c>
      <x:c r="C21" s="38" t="n">
        <x:v>4</x:v>
      </x:c>
      <x:c r="D21" s="38" t="n">
        <x:v>0</x:v>
      </x:c>
      <x:c r="E21" s="36" t="str">
        <x:v>8.8.62.491</x:v>
      </x:c>
      <x:c r="F21" s="36" t="str">
        <x:v>2023-08-18 10:10:02</x:v>
      </x:c>
      <x:c r="G21" s="39" t="str"/>
      <x:c r="H21" s="39" t="str"/>
      <x:c r="I21" s="39"/>
      <x:c r="J21" s="39"/>
      <x:c r="K21" s="40" t="str"/>
      <x:c r="L21" s="40" t="str"/>
      <x:c r="M21" s="39" t="str"/>
      <x:c r="N21" s="41" t="str">
        <x:f>IF(COUNTBLANK(G21:M21)=7,"Not started",IF(COUNTBLANK(G21:M21)&gt;0,"Incomplete",IF(AND(ISNUMBER(FIND(L21,B21)),OR(M21="true",M21="false"),IFERROR(VALUE(I21)&gt;=-1,FALSE),IFERROR(VALUE(I21)&lt;=1,FALSE),IFERROR(VALUE(J21)&gt;=1,FALSE),IFERROR(VALUE(J21)&lt;=5,FALSE),LEFT(K21,1)="[",RIGHT(K21,1)="]"),"Complete","Check inputs")))</x:f>
        <x:v>Not started</x:v>
      </x:c>
    </x:row>
    <x:row r="22" ht="72" customHeight="1">
      <x:c r="A22" s="36" t="str">
        <x:v>ac6cd66d-a9d2-42a4-afb8-2f84beff7fd1</x:v>
      </x:c>
      <x:c r="B22" s="37" t="str">
        <x:v>Lhat ng song nasa spotify</x:v>
      </x:c>
      <x:c r="C22" s="38" t="n">
        <x:v>5</x:v>
      </x:c>
      <x:c r="D22" s="38" t="n">
        <x:v>0</x:v>
      </x:c>
      <x:c r="E22" s="36" t="str"/>
      <x:c r="F22" s="36" t="str">
        <x:v>2023-03-26 16:32:33</x:v>
      </x:c>
      <x:c r="G22" s="39" t="str"/>
      <x:c r="H22" s="39" t="str"/>
      <x:c r="I22" s="39"/>
      <x:c r="J22" s="39"/>
      <x:c r="K22" s="40" t="str"/>
      <x:c r="L22" s="40" t="str"/>
      <x:c r="M22" s="39" t="str"/>
      <x:c r="N22" s="41" t="str">
        <x:f>IF(COUNTBLANK(G22:M22)=7,"Not started",IF(COUNTBLANK(G22:M22)&gt;0,"Incomplete",IF(AND(ISNUMBER(FIND(L22,B22)),OR(M22="true",M22="false"),IFERROR(VALUE(I22)&gt;=-1,FALSE),IFERROR(VALUE(I22)&lt;=1,FALSE),IFERROR(VALUE(J22)&gt;=1,FALSE),IFERROR(VALUE(J22)&lt;=5,FALSE),LEFT(K22,1)="[",RIGHT(K22,1)="]"),"Complete","Check inputs")))</x:f>
        <x:v>Not started</x:v>
      </x:c>
    </x:row>
    <x:row r="23" ht="72" customHeight="1">
      <x:c r="A23" s="36" t="str">
        <x:v>44129679-31a0-4108-9314-086a3456f6ae</x:v>
      </x:c>
      <x:c r="B23" s="37" t="str">
        <x:v>Avtar sungh</x:v>
      </x:c>
      <x:c r="C23" s="38" t="n">
        <x:v>1</x:v>
      </x:c>
      <x:c r="D23" s="38" t="n">
        <x:v>0</x:v>
      </x:c>
      <x:c r="E23" s="36" t="str">
        <x:v>8.8.80.599</x:v>
      </x:c>
      <x:c r="F23" s="36" t="str">
        <x:v>2023-11-06 22:32:23</x:v>
      </x:c>
      <x:c r="G23" s="39" t="str"/>
      <x:c r="H23" s="39" t="str"/>
      <x:c r="I23" s="39"/>
      <x:c r="J23" s="39"/>
      <x:c r="K23" s="40" t="str"/>
      <x:c r="L23" s="40" t="str"/>
      <x:c r="M23" s="39" t="str"/>
      <x:c r="N23" s="41" t="str">
        <x:f>IF(COUNTBLANK(G23:M23)=7,"Not started",IF(COUNTBLANK(G23:M23)&gt;0,"Incomplete",IF(AND(ISNUMBER(FIND(L23,B23)),OR(M23="true",M23="false"),IFERROR(VALUE(I23)&gt;=-1,FALSE),IFERROR(VALUE(I23)&lt;=1,FALSE),IFERROR(VALUE(J23)&gt;=1,FALSE),IFERROR(VALUE(J23)&lt;=5,FALSE),LEFT(K23,1)="[",RIGHT(K23,1)="]"),"Complete","Check inputs")))</x:f>
        <x:v>Not started</x:v>
      </x:c>
    </x:row>
    <x:row r="24" ht="72" customHeight="1">
      <x:c r="A24" s="36" t="str">
        <x:v>46842184-32f8-4088-ac15-2a700a7e94ed</x:v>
      </x:c>
      <x:c r="B24" s="37" t="str">
        <x:v>asem, lirik nya kdang gaada kek mana??</x:v>
      </x:c>
      <x:c r="C24" s="38" t="n">
        <x:v>1</x:v>
      </x:c>
      <x:c r="D24" s="38" t="n">
        <x:v>0</x:v>
      </x:c>
      <x:c r="E24" s="36" t="str">
        <x:v>8.7.30.1221</x:v>
      </x:c>
      <x:c r="F24" s="36" t="str">
        <x:v>2023-09-29 15:11:18</x:v>
      </x:c>
      <x:c r="G24" s="39" t="str"/>
      <x:c r="H24" s="39" t="str"/>
      <x:c r="I24" s="39"/>
      <x:c r="J24" s="39"/>
      <x:c r="K24" s="40" t="str"/>
      <x:c r="L24" s="40" t="str"/>
      <x:c r="M24" s="39" t="str"/>
      <x:c r="N24" s="41" t="str">
        <x:f>IF(COUNTBLANK(G24:M24)=7,"Not started",IF(COUNTBLANK(G24:M24)&gt;0,"Incomplete",IF(AND(ISNUMBER(FIND(L24,B24)),OR(M24="true",M24="false"),IFERROR(VALUE(I24)&gt;=-1,FALSE),IFERROR(VALUE(I24)&lt;=1,FALSE),IFERROR(VALUE(J24)&gt;=1,FALSE),IFERROR(VALUE(J24)&lt;=5,FALSE),LEFT(K24,1)="[",RIGHT(K24,1)="]"),"Complete","Check inputs")))</x:f>
        <x:v>Not started</x:v>
      </x:c>
    </x:row>
    <x:row r="25" ht="72" customHeight="1">
      <x:c r="A25" s="36" t="str">
        <x:v>657f1b77-0183-4b06-bf48-5e6d9ab08f9a</x:v>
      </x:c>
      <x:c r="B25" s="37" t="str">
        <x:v>Hate This application 👎</x:v>
      </x:c>
      <x:c r="C25" s="38" t="n">
        <x:v>1</x:v>
      </x:c>
      <x:c r="D25" s="38" t="n">
        <x:v>0</x:v>
      </x:c>
      <x:c r="E25" s="36" t="str"/>
      <x:c r="F25" s="36" t="str">
        <x:v>2023-07-07 05:06:07</x:v>
      </x:c>
      <x:c r="G25" s="39" t="str"/>
      <x:c r="H25" s="39" t="str"/>
      <x:c r="I25" s="39"/>
      <x:c r="J25" s="39"/>
      <x:c r="K25" s="40" t="str"/>
      <x:c r="L25" s="40" t="str"/>
      <x:c r="M25" s="39" t="str"/>
      <x:c r="N25" s="41" t="str">
        <x:f>IF(COUNTBLANK(G25:M25)=7,"Not started",IF(COUNTBLANK(G25:M25)&gt;0,"Incomplete",IF(AND(ISNUMBER(FIND(L25,B25)),OR(M25="true",M25="false"),IFERROR(VALUE(I25)&gt;=-1,FALSE),IFERROR(VALUE(I25)&lt;=1,FALSE),IFERROR(VALUE(J25)&gt;=1,FALSE),IFERROR(VALUE(J25)&lt;=5,FALSE),LEFT(K25,1)="[",RIGHT(K25,1)="]"),"Complete","Check inputs")))</x:f>
        <x:v>Not started</x:v>
      </x:c>
    </x:row>
    <x:row r="26" ht="72" customHeight="1">
      <x:c r="A26" s="36" t="str">
        <x:v>5de7f95b-ccad-41b2-9f63-a13f7c1d9f09</x:v>
      </x:c>
      <x:c r="B26" s="37" t="str">
        <x:v>We are boycotting Swedish app in our protest against Sweden for their desrecpect &amp; desceration of our holy book Qur'an</x:v>
      </x:c>
      <x:c r="C26" s="38" t="n">
        <x:v>1</x:v>
      </x:c>
      <x:c r="D26" s="38" t="n">
        <x:v>0</x:v>
      </x:c>
      <x:c r="E26" s="36" t="str">
        <x:v>8.8.40.470</x:v>
      </x:c>
      <x:c r="F26" s="36" t="str">
        <x:v>2023-07-08 12:37:12</x:v>
      </x:c>
      <x:c r="G26" s="39" t="str"/>
      <x:c r="H26" s="39" t="str"/>
      <x:c r="I26" s="39"/>
      <x:c r="J26" s="39"/>
      <x:c r="K26" s="40" t="str"/>
      <x:c r="L26" s="40" t="str"/>
      <x:c r="M26" s="39" t="str"/>
      <x:c r="N26" s="41" t="str">
        <x:f>IF(COUNTBLANK(G26:M26)=7,"Not started",IF(COUNTBLANK(G26:M26)&gt;0,"Incomplete",IF(AND(ISNUMBER(FIND(L26,B26)),OR(M26="true",M26="false"),IFERROR(VALUE(I26)&gt;=-1,FALSE),IFERROR(VALUE(I26)&lt;=1,FALSE),IFERROR(VALUE(J26)&gt;=1,FALSE),IFERROR(VALUE(J26)&lt;=5,FALSE),LEFT(K26,1)="[",RIGHT(K26,1)="]"),"Complete","Check inputs")))</x:f>
        <x:v>Not started</x:v>
      </x:c>
    </x:row>
    <x:row r="27" ht="72" customHeight="1">
      <x:c r="A27" s="36" t="str">
        <x:v>de48c99b-46fe-4837-8634-e63dbc72a5ea</x:v>
      </x:c>
      <x:c r="B27" s="37" t="str">
        <x:v>I LOVE that I was able to put in only a few songs I like and Spotify gave me recommendations for an AWESOME Playlist...!!!</x:v>
      </x:c>
      <x:c r="C27" s="38" t="n">
        <x:v>5</x:v>
      </x:c>
      <x:c r="D27" s="38" t="n">
        <x:v>0</x:v>
      </x:c>
      <x:c r="E27" s="36" t="str">
        <x:v>8.7.54.403</x:v>
      </x:c>
      <x:c r="F27" s="36" t="str">
        <x:v>2022-08-11 16:19:47</x:v>
      </x:c>
      <x:c r="G27" s="39" t="str"/>
      <x:c r="H27" s="39" t="str"/>
      <x:c r="I27" s="39"/>
      <x:c r="J27" s="39"/>
      <x:c r="K27" s="40" t="str"/>
      <x:c r="L27" s="40" t="str"/>
      <x:c r="M27" s="39" t="str"/>
      <x:c r="N27" s="41" t="str">
        <x:f>IF(COUNTBLANK(G27:M27)=7,"Not started",IF(COUNTBLANK(G27:M27)&gt;0,"Incomplete",IF(AND(ISNUMBER(FIND(L27,B27)),OR(M27="true",M27="false"),IFERROR(VALUE(I27)&gt;=-1,FALSE),IFERROR(VALUE(I27)&lt;=1,FALSE),IFERROR(VALUE(J27)&gt;=1,FALSE),IFERROR(VALUE(J27)&lt;=5,FALSE),LEFT(K27,1)="[",RIGHT(K27,1)="]"),"Complete","Check inputs")))</x:f>
        <x:v>Not started</x:v>
      </x:c>
    </x:row>
    <x:row r="28" ht="72" customHeight="1">
      <x:c r="A28" s="36" t="str">
        <x:v>aa573851-0b86-4b1b-adf6-210268c08d2a</x:v>
      </x:c>
      <x:c r="B28" s="37" t="str">
        <x:v>I absolutely love Spotify, to me is one of the best Music Apps. Great job Spotify!!!</x:v>
      </x:c>
      <x:c r="C28" s="38" t="n">
        <x:v>5</x:v>
      </x:c>
      <x:c r="D28" s="38" t="n">
        <x:v>0</x:v>
      </x:c>
      <x:c r="E28" s="36" t="str">
        <x:v>8.8.62.491</x:v>
      </x:c>
      <x:c r="F28" s="36" t="str">
        <x:v>2023-08-25 00:58:54</x:v>
      </x:c>
      <x:c r="G28" s="39" t="str"/>
      <x:c r="H28" s="39" t="str"/>
      <x:c r="I28" s="39"/>
      <x:c r="J28" s="39"/>
      <x:c r="K28" s="40" t="str"/>
      <x:c r="L28" s="40" t="str"/>
      <x:c r="M28" s="39" t="str"/>
      <x:c r="N28" s="41" t="str">
        <x:f>IF(COUNTBLANK(G28:M28)=7,"Not started",IF(COUNTBLANK(G28:M28)&gt;0,"Incomplete",IF(AND(ISNUMBER(FIND(L28,B28)),OR(M28="true",M28="false"),IFERROR(VALUE(I28)&gt;=-1,FALSE),IFERROR(VALUE(I28)&lt;=1,FALSE),IFERROR(VALUE(J28)&gt;=1,FALSE),IFERROR(VALUE(J28)&lt;=5,FALSE),LEFT(K28,1)="[",RIGHT(K28,1)="]"),"Complete","Check inputs")))</x:f>
        <x:v>Not started</x:v>
      </x:c>
    </x:row>
    <x:row r="29" ht="72" customHeight="1">
      <x:c r="A29" s="36" t="str">
        <x:v>372d4e67-59cc-4c54-879f-3e8a202ee554</x:v>
      </x:c>
      <x:c r="B29" s="37" t="str">
        <x:v>Please ye ads ko thoda kumm Karo harr ek song ke baad ad 🙏🙄</x:v>
      </x:c>
      <x:c r="C29" s="38" t="n">
        <x:v>1</x:v>
      </x:c>
      <x:c r="D29" s="38" t="n">
        <x:v>1</x:v>
      </x:c>
      <x:c r="E29" s="36" t="str">
        <x:v>8.6.74.1176</x:v>
      </x:c>
      <x:c r="F29" s="36" t="str">
        <x:v>2022-12-05 07:47:16</x:v>
      </x:c>
      <x:c r="G29" s="39" t="str"/>
      <x:c r="H29" s="39" t="str"/>
      <x:c r="I29" s="39"/>
      <x:c r="J29" s="39"/>
      <x:c r="K29" s="40" t="str"/>
      <x:c r="L29" s="40" t="str"/>
      <x:c r="M29" s="39" t="str"/>
      <x:c r="N29" s="41" t="str">
        <x:f>IF(COUNTBLANK(G29:M29)=7,"Not started",IF(COUNTBLANK(G29:M29)&gt;0,"Incomplete",IF(AND(ISNUMBER(FIND(L29,B29)),OR(M29="true",M29="false"),IFERROR(VALUE(I29)&gt;=-1,FALSE),IFERROR(VALUE(I29)&lt;=1,FALSE),IFERROR(VALUE(J29)&gt;=1,FALSE),IFERROR(VALUE(J29)&lt;=5,FALSE),LEFT(K29,1)="[",RIGHT(K29,1)="]"),"Complete","Check inputs")))</x:f>
        <x:v>Not started</x:v>
      </x:c>
    </x:row>
    <x:row r="30" ht="72" customHeight="1">
      <x:c r="A30" s="36" t="str">
        <x:v>47f1406d-4918-4d60-9647-5ca8e610caca</x:v>
      </x:c>
      <x:c r="B30" s="37" t="str">
        <x:v>Very poor updates as we cannot playback the songs and most bad updates are happening it is affecting the spotify quality</x:v>
      </x:c>
      <x:c r="C30" s="38" t="n">
        <x:v>1</x:v>
      </x:c>
      <x:c r="D30" s="38" t="n">
        <x:v>0</x:v>
      </x:c>
      <x:c r="E30" s="36" t="str">
        <x:v>8.8.70.532</x:v>
      </x:c>
      <x:c r="F30" s="36" t="str">
        <x:v>2023-09-21 07:14:22</x:v>
      </x:c>
      <x:c r="G30" s="39" t="str"/>
      <x:c r="H30" s="39" t="str"/>
      <x:c r="I30" s="39"/>
      <x:c r="J30" s="39"/>
      <x:c r="K30" s="40" t="str"/>
      <x:c r="L30" s="40" t="str"/>
      <x:c r="M30" s="39" t="str"/>
      <x:c r="N30" s="41" t="str">
        <x:f>IF(COUNTBLANK(G30:M30)=7,"Not started",IF(COUNTBLANK(G30:M30)&gt;0,"Incomplete",IF(AND(ISNUMBER(FIND(L30,B30)),OR(M30="true",M30="false"),IFERROR(VALUE(I30)&gt;=-1,FALSE),IFERROR(VALUE(I30)&lt;=1,FALSE),IFERROR(VALUE(J30)&gt;=1,FALSE),IFERROR(VALUE(J30)&lt;=5,FALSE),LEFT(K30,1)="[",RIGHT(K30,1)="]"),"Complete","Check inputs")))</x:f>
        <x:v>Not started</x:v>
      </x:c>
    </x:row>
    <x:row r="31" ht="72" customHeight="1">
      <x:c r="A31" s="36" t="str">
        <x:v>82780cbe-6435-4efb-84f6-8e5fa47ffc3a</x:v>
      </x:c>
      <x:c r="B31" s="37" t="str">
        <x:v>Awesomeness 👌 👏 👍 😍 💖</x:v>
      </x:c>
      <x:c r="C31" s="38" t="n">
        <x:v>5</x:v>
      </x:c>
      <x:c r="D31" s="38" t="n">
        <x:v>0</x:v>
      </x:c>
      <x:c r="E31" s="36" t="str">
        <x:v>8.7.68.568</x:v>
      </x:c>
      <x:c r="F31" s="36" t="str">
        <x:v>2022-09-29 08:28:34</x:v>
      </x:c>
      <x:c r="G31" s="39" t="str"/>
      <x:c r="H31" s="39" t="str"/>
      <x:c r="I31" s="39"/>
      <x:c r="J31" s="39"/>
      <x:c r="K31" s="40" t="str"/>
      <x:c r="L31" s="40" t="str"/>
      <x:c r="M31" s="39" t="str"/>
      <x:c r="N31" s="41" t="str">
        <x:f>IF(COUNTBLANK(G31:M31)=7,"Not started",IF(COUNTBLANK(G31:M31)&gt;0,"Incomplete",IF(AND(ISNUMBER(FIND(L31,B31)),OR(M31="true",M31="false"),IFERROR(VALUE(I31)&gt;=-1,FALSE),IFERROR(VALUE(I31)&lt;=1,FALSE),IFERROR(VALUE(J31)&gt;=1,FALSE),IFERROR(VALUE(J31)&lt;=5,FALSE),LEFT(K31,1)="[",RIGHT(K31,1)="]"),"Complete","Check inputs")))</x:f>
        <x:v>Not started</x:v>
      </x:c>
    </x:row>
    <x:row r="32" ht="72" customHeight="1">
      <x:c r="A32" s="36" t="str">
        <x:v>36609c5c-fe48-4459-86b8-cc78fd3c77cd</x:v>
      </x:c>
      <x:c r="B32" s="37" t="str">
        <x:v>Bheekhmangon</x:v>
      </x:c>
      <x:c r="C32" s="38" t="n">
        <x:v>1</x:v>
      </x:c>
      <x:c r="D32" s="38" t="n">
        <x:v>0</x:v>
      </x:c>
      <x:c r="E32" s="36" t="str"/>
      <x:c r="F32" s="36" t="str">
        <x:v>2023-10-10 07:52:54</x:v>
      </x:c>
      <x:c r="G32" s="39" t="str"/>
      <x:c r="H32" s="39" t="str"/>
      <x:c r="I32" s="39"/>
      <x:c r="J32" s="39"/>
      <x:c r="K32" s="40" t="str"/>
      <x:c r="L32" s="40" t="str"/>
      <x:c r="M32" s="39" t="str"/>
      <x:c r="N32" s="41" t="str">
        <x:f>IF(COUNTBLANK(G32:M32)=7,"Not started",IF(COUNTBLANK(G32:M32)&gt;0,"Incomplete",IF(AND(ISNUMBER(FIND(L32,B32)),OR(M32="true",M32="false"),IFERROR(VALUE(I32)&gt;=-1,FALSE),IFERROR(VALUE(I32)&lt;=1,FALSE),IFERROR(VALUE(J32)&gt;=1,FALSE),IFERROR(VALUE(J32)&lt;=5,FALSE),LEFT(K32,1)="[",RIGHT(K32,1)="]"),"Complete","Check inputs")))</x:f>
        <x:v>Not started</x:v>
      </x:c>
    </x:row>
    <x:row r="33" ht="72" customHeight="1">
      <x:c r="A33" s="36" t="str">
        <x:v>f4c8146a-d5c8-4168-b00e-21af666afc6a</x:v>
      </x:c>
      <x:c r="B33" s="37" t="str">
        <x:v>Unconditional love, Stoli Canales</x:v>
      </x:c>
      <x:c r="C33" s="38" t="n">
        <x:v>5</x:v>
      </x:c>
      <x:c r="D33" s="38" t="n">
        <x:v>0</x:v>
      </x:c>
      <x:c r="E33" s="36" t="str">
        <x:v>8.8.2.434</x:v>
      </x:c>
      <x:c r="F33" s="36" t="str">
        <x:v>2023-01-20 20:40:02</x:v>
      </x:c>
      <x:c r="G33" s="39" t="str"/>
      <x:c r="H33" s="39" t="str"/>
      <x:c r="I33" s="39"/>
      <x:c r="J33" s="39"/>
      <x:c r="K33" s="40" t="str"/>
      <x:c r="L33" s="40" t="str"/>
      <x:c r="M33" s="39" t="str"/>
      <x:c r="N33" s="41" t="str">
        <x:f>IF(COUNTBLANK(G33:M33)=7,"Not started",IF(COUNTBLANK(G33:M33)&gt;0,"Incomplete",IF(AND(ISNUMBER(FIND(L33,B33)),OR(M33="true",M33="false"),IFERROR(VALUE(I33)&gt;=-1,FALSE),IFERROR(VALUE(I33)&lt;=1,FALSE),IFERROR(VALUE(J33)&gt;=1,FALSE),IFERROR(VALUE(J33)&lt;=5,FALSE),LEFT(K33,1)="[",RIGHT(K33,1)="]"),"Complete","Check inputs")))</x:f>
        <x:v>Not started</x:v>
      </x:c>
    </x:row>
    <x:row r="34" ht="72" customHeight="1">
      <x:c r="A34" s="36" t="str">
        <x:v>3ddb3f4e-f7b9-430b-b335-eadc6d321f46</x:v>
      </x:c>
      <x:c r="B34" s="37" t="str">
        <x:v>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x:v>
      </x:c>
      <x:c r="C34" s="38" t="n">
        <x:v>1</x:v>
      </x:c>
      <x:c r="D34" s="38" t="n">
        <x:v>1</x:v>
      </x:c>
      <x:c r="E34" s="36" t="str">
        <x:v>8.8.68.565</x:v>
      </x:c>
      <x:c r="F34" s="36" t="str">
        <x:v>2023-09-12 00:53:14</x:v>
      </x:c>
      <x:c r="G34" s="39" t="str"/>
      <x:c r="H34" s="39" t="str"/>
      <x:c r="I34" s="39"/>
      <x:c r="J34" s="39"/>
      <x:c r="K34" s="40" t="str"/>
      <x:c r="L34" s="40" t="str"/>
      <x:c r="M34" s="39" t="str"/>
      <x:c r="N34" s="41" t="str">
        <x:f>IF(COUNTBLANK(G34:M34)=7,"Not started",IF(COUNTBLANK(G34:M34)&gt;0,"Incomplete",IF(AND(ISNUMBER(FIND(L34,B34)),OR(M34="true",M34="false"),IFERROR(VALUE(I34)&gt;=-1,FALSE),IFERROR(VALUE(I34)&lt;=1,FALSE),IFERROR(VALUE(J34)&gt;=1,FALSE),IFERROR(VALUE(J34)&lt;=5,FALSE),LEFT(K34,1)="[",RIGHT(K34,1)="]"),"Complete","Check inputs")))</x:f>
        <x:v>Not started</x:v>
      </x:c>
    </x:row>
    <x:row r="35" ht="72" customHeight="1">
      <x:c r="A35" s="36" t="str">
        <x:v>16d640e9-b281-4746-9562-c7dbcf7126b6</x:v>
      </x:c>
      <x:c r="B35" s="37" t="str">
        <x:v>It's my best music app but now it's not...everything basic features is premium....</x:v>
      </x:c>
      <x:c r="C35" s="38" t="n">
        <x:v>1</x:v>
      </x:c>
      <x:c r="D35" s="38" t="n">
        <x:v>1</x:v>
      </x:c>
      <x:c r="E35" s="36" t="str">
        <x:v>8.8.78.587</x:v>
      </x:c>
      <x:c r="F35" s="36" t="str">
        <x:v>2023-10-17 23:20:17</x:v>
      </x:c>
      <x:c r="G35" s="39" t="str"/>
      <x:c r="H35" s="39" t="str"/>
      <x:c r="I35" s="39"/>
      <x:c r="J35" s="39"/>
      <x:c r="K35" s="40" t="str"/>
      <x:c r="L35" s="40" t="str"/>
      <x:c r="M35" s="39" t="str"/>
      <x:c r="N35" s="41" t="str">
        <x:f>IF(COUNTBLANK(G35:M35)=7,"Not started",IF(COUNTBLANK(G35:M35)&gt;0,"Incomplete",IF(AND(ISNUMBER(FIND(L35,B35)),OR(M35="true",M35="false"),IFERROR(VALUE(I35)&gt;=-1,FALSE),IFERROR(VALUE(I35)&lt;=1,FALSE),IFERROR(VALUE(J35)&gt;=1,FALSE),IFERROR(VALUE(J35)&lt;=5,FALSE),LEFT(K35,1)="[",RIGHT(K35,1)="]"),"Complete","Check inputs")))</x:f>
        <x:v>Not started</x:v>
      </x:c>
    </x:row>
    <x:row r="36" ht="72" customHeight="1">
      <x:c r="A36" s="36" t="str">
        <x:v>8cc4fad4-26ec-47b7-96e8-49c7da714eca</x:v>
      </x:c>
      <x:c r="B36" s="37" t="str">
        <x:v>I hate this app and sweden .I love islam</x:v>
      </x:c>
      <x:c r="C36" s="38" t="n">
        <x:v>1</x:v>
      </x:c>
      <x:c r="D36" s="38" t="n">
        <x:v>0</x:v>
      </x:c>
      <x:c r="E36" s="36" t="str"/>
      <x:c r="F36" s="36" t="str">
        <x:v>2023-07-10 06:07:03</x:v>
      </x:c>
      <x:c r="G36" s="39" t="str"/>
      <x:c r="H36" s="39" t="str"/>
      <x:c r="I36" s="39"/>
      <x:c r="J36" s="39"/>
      <x:c r="K36" s="40" t="str"/>
      <x:c r="L36" s="40" t="str"/>
      <x:c r="M36" s="39" t="str"/>
      <x:c r="N36" s="41" t="str">
        <x:f>IF(COUNTBLANK(G36:M36)=7,"Not started",IF(COUNTBLANK(G36:M36)&gt;0,"Incomplete",IF(AND(ISNUMBER(FIND(L36,B36)),OR(M36="true",M36="false"),IFERROR(VALUE(I36)&gt;=-1,FALSE),IFERROR(VALUE(I36)&lt;=1,FALSE),IFERROR(VALUE(J36)&gt;=1,FALSE),IFERROR(VALUE(J36)&lt;=5,FALSE),LEFT(K36,1)="[",RIGHT(K36,1)="]"),"Complete","Check inputs")))</x:f>
        <x:v>Not started</x:v>
      </x:c>
    </x:row>
    <x:row r="37" ht="72" customHeight="1">
      <x:c r="A37" s="36" t="str">
        <x:v>215463ae-95b7-4481-8747-1754b68f31fa</x:v>
      </x:c>
      <x:c r="B37" s="37" t="str">
        <x:v>What is happening with Spotify?? Recently I'm trying to play a song but it doesn't working. So I unstalled and thn again install it now I can't even open the app.. Just showing try again?? I really loved Spotify but this making me to rate it 1 star plz fix the problm as fast as u can</x:v>
      </x:c>
      <x:c r="C37" s="38" t="n">
        <x:v>1</x:v>
      </x:c>
      <x:c r="D37" s="38" t="n">
        <x:v>0</x:v>
      </x:c>
      <x:c r="E37" s="36" t="str">
        <x:v>8.7.90.544</x:v>
      </x:c>
      <x:c r="F37" s="36" t="str">
        <x:v>2022-12-10 08:06:48</x:v>
      </x:c>
      <x:c r="G37" s="39" t="str"/>
      <x:c r="H37" s="39" t="str"/>
      <x:c r="I37" s="39"/>
      <x:c r="J37" s="39"/>
      <x:c r="K37" s="40" t="str"/>
      <x:c r="L37" s="40" t="str"/>
      <x:c r="M37" s="39" t="str"/>
      <x:c r="N37" s="41" t="str">
        <x:f>IF(COUNTBLANK(G37:M37)=7,"Not started",IF(COUNTBLANK(G37:M37)&gt;0,"Incomplete",IF(AND(ISNUMBER(FIND(L37,B37)),OR(M37="true",M37="false"),IFERROR(VALUE(I37)&gt;=-1,FALSE),IFERROR(VALUE(I37)&lt;=1,FALSE),IFERROR(VALUE(J37)&gt;=1,FALSE),IFERROR(VALUE(J37)&lt;=5,FALSE),LEFT(K37,1)="[",RIGHT(K37,1)="]"),"Complete","Check inputs")))</x:f>
        <x:v>Not started</x:v>
      </x:c>
    </x:row>
    <x:row r="38" ht="72" customHeight="1">
      <x:c r="A38" s="36" t="str">
        <x:v>46c0b49f-83a1-427e-8f0b-cef62e3c94b5</x:v>
      </x:c>
      <x:c r="B38" s="37" t="str">
        <x:v>Are you out of your mind? This is dangerous! Listening to music in a normal volume and suddenly an add starts and my ears feel like they explode!! Stop this BS, or you're gonna destroy someones ears.</x:v>
      </x:c>
      <x:c r="C38" s="38" t="n">
        <x:v>1</x:v>
      </x:c>
      <x:c r="D38" s="38" t="n">
        <x:v>1</x:v>
      </x:c>
      <x:c r="E38" s="36" t="str">
        <x:v>8.8.54.481</x:v>
      </x:c>
      <x:c r="F38" s="36" t="str">
        <x:v>2023-07-19 16:15:07</x:v>
      </x:c>
      <x:c r="G38" s="39" t="str"/>
      <x:c r="H38" s="39" t="str"/>
      <x:c r="I38" s="39"/>
      <x:c r="J38" s="39"/>
      <x:c r="K38" s="40" t="str"/>
      <x:c r="L38" s="40" t="str"/>
      <x:c r="M38" s="39" t="str"/>
      <x:c r="N38" s="41" t="str">
        <x:f>IF(COUNTBLANK(G38:M38)=7,"Not started",IF(COUNTBLANK(G38:M38)&gt;0,"Incomplete",IF(AND(ISNUMBER(FIND(L38,B38)),OR(M38="true",M38="false"),IFERROR(VALUE(I38)&gt;=-1,FALSE),IFERROR(VALUE(I38)&lt;=1,FALSE),IFERROR(VALUE(J38)&gt;=1,FALSE),IFERROR(VALUE(J38)&lt;=5,FALSE),LEFT(K38,1)="[",RIGHT(K38,1)="]"),"Complete","Check inputs")))</x:f>
        <x:v>Not started</x:v>
      </x:c>
    </x:row>
    <x:row r="39" ht="72" customHeight="1">
      <x:c r="A39" s="36" t="str">
        <x:v>283b5843-a992-464f-b1dc-9dc7281ff390</x:v>
      </x:c>
      <x:c r="B39" s="37" t="str">
        <x:v>Beth, we all got to give me a free dollar to go with 3 months, bro I can't be like</x:v>
      </x:c>
      <x:c r="C39" s="38" t="n">
        <x:v>5</x:v>
      </x:c>
      <x:c r="D39" s="38" t="n">
        <x:v>0</x:v>
      </x:c>
      <x:c r="E39" s="36" t="str">
        <x:v>8.8.26.408</x:v>
      </x:c>
      <x:c r="F39" s="36" t="str">
        <x:v>2023-05-29 00:28:41</x:v>
      </x:c>
      <x:c r="G39" s="39" t="str"/>
      <x:c r="H39" s="39" t="str"/>
      <x:c r="I39" s="39"/>
      <x:c r="J39" s="39"/>
      <x:c r="K39" s="40" t="str"/>
      <x:c r="L39" s="40" t="str"/>
      <x:c r="M39" s="39" t="str"/>
      <x:c r="N39" s="41" t="str">
        <x:f>IF(COUNTBLANK(G39:M39)=7,"Not started",IF(COUNTBLANK(G39:M39)&gt;0,"Incomplete",IF(AND(ISNUMBER(FIND(L39,B39)),OR(M39="true",M39="false"),IFERROR(VALUE(I39)&gt;=-1,FALSE),IFERROR(VALUE(I39)&lt;=1,FALSE),IFERROR(VALUE(J39)&gt;=1,FALSE),IFERROR(VALUE(J39)&lt;=5,FALSE),LEFT(K39,1)="[",RIGHT(K39,1)="]"),"Complete","Check inputs")))</x:f>
        <x:v>Not started</x:v>
      </x:c>
    </x:row>
    <x:row r="40" ht="72" customHeight="1">
      <x:c r="A40" s="36" t="str">
        <x:v>1d15724a-98ff-400a-8083-0d9afc801098</x:v>
      </x:c>
      <x:c r="B40" s="37" t="str">
        <x:v>Good</x:v>
      </x:c>
      <x:c r="C40" s="38" t="n">
        <x:v>5</x:v>
      </x:c>
      <x:c r="D40" s="38" t="n">
        <x:v>0</x:v>
      </x:c>
      <x:c r="E40" s="36" t="str">
        <x:v>8.7.52.1010</x:v>
      </x:c>
      <x:c r="F40" s="36" t="str">
        <x:v>2022-08-07 00:10:55</x:v>
      </x:c>
      <x:c r="G40" s="39" t="str"/>
      <x:c r="H40" s="39" t="str"/>
      <x:c r="I40" s="39"/>
      <x:c r="J40" s="39"/>
      <x:c r="K40" s="40" t="str"/>
      <x:c r="L40" s="40" t="str"/>
      <x:c r="M40" s="39" t="str"/>
      <x:c r="N40" s="41" t="str">
        <x:f>IF(COUNTBLANK(G40:M40)=7,"Not started",IF(COUNTBLANK(G40:M40)&gt;0,"Incomplete",IF(AND(ISNUMBER(FIND(L40,B40)),OR(M40="true",M40="false"),IFERROR(VALUE(I40)&gt;=-1,FALSE),IFERROR(VALUE(I40)&lt;=1,FALSE),IFERROR(VALUE(J40)&gt;=1,FALSE),IFERROR(VALUE(J40)&lt;=5,FALSE),LEFT(K40,1)="[",RIGHT(K40,1)="]"),"Complete","Check inputs")))</x:f>
        <x:v>Not started</x:v>
      </x:c>
    </x:row>
    <x:row r="41" ht="72" customHeight="1">
      <x:c r="A41" s="36" t="str">
        <x:v>89ea724c-358f-48ab-9516-cd130d21c471</x:v>
      </x:c>
      <x:c r="B41" s="37" t="str">
        <x:v>Good app!</x:v>
      </x:c>
      <x:c r="C41" s="38" t="n">
        <x:v>5</x:v>
      </x:c>
      <x:c r="D41" s="38" t="n">
        <x:v>0</x:v>
      </x:c>
      <x:c r="E41" s="36" t="str"/>
      <x:c r="F41" s="36" t="str">
        <x:v>2022-08-08 12:41:08</x:v>
      </x:c>
      <x:c r="G41" s="39" t="str"/>
      <x:c r="H41" s="39" t="str"/>
      <x:c r="I41" s="39"/>
      <x:c r="J41" s="39"/>
      <x:c r="K41" s="40" t="str"/>
      <x:c r="L41" s="40" t="str"/>
      <x:c r="M41" s="39" t="str"/>
      <x:c r="N41" s="41" t="str">
        <x:f>IF(COUNTBLANK(G41:M41)=7,"Not started",IF(COUNTBLANK(G41:M41)&gt;0,"Incomplete",IF(AND(ISNUMBER(FIND(L41,B41)),OR(M41="true",M41="false"),IFERROR(VALUE(I41)&gt;=-1,FALSE),IFERROR(VALUE(I41)&lt;=1,FALSE),IFERROR(VALUE(J41)&gt;=1,FALSE),IFERROR(VALUE(J41)&lt;=5,FALSE),LEFT(K41,1)="[",RIGHT(K41,1)="]"),"Complete","Check inputs")))</x:f>
        <x:v>Not started</x:v>
      </x:c>
    </x:row>
    <x:row r="42" ht="72" customHeight="1">
      <x:c r="A42" s="36" t="str">
        <x:v>2aa566c6-b98d-4513-b900-83702a8db8eb</x:v>
      </x:c>
      <x:c r="B42" s="37" t="str">
        <x:v>Nice app, very less advertising</x:v>
      </x:c>
      <x:c r="C42" s="38" t="n">
        <x:v>4</x:v>
      </x:c>
      <x:c r="D42" s="38" t="n">
        <x:v>0</x:v>
      </x:c>
      <x:c r="E42" s="36" t="str">
        <x:v>8.8.28.409</x:v>
      </x:c>
      <x:c r="F42" s="36" t="str">
        <x:v>2023-04-29 08:28:55</x:v>
      </x:c>
      <x:c r="G42" s="39" t="str"/>
      <x:c r="H42" s="39" t="str"/>
      <x:c r="I42" s="39"/>
      <x:c r="J42" s="39"/>
      <x:c r="K42" s="40" t="str"/>
      <x:c r="L42" s="40" t="str"/>
      <x:c r="M42" s="39" t="str"/>
      <x:c r="N42" s="41" t="str">
        <x:f>IF(COUNTBLANK(G42:M42)=7,"Not started",IF(COUNTBLANK(G42:M42)&gt;0,"Incomplete",IF(AND(ISNUMBER(FIND(L42,B42)),OR(M42="true",M42="false"),IFERROR(VALUE(I42)&gt;=-1,FALSE),IFERROR(VALUE(I42)&lt;=1,FALSE),IFERROR(VALUE(J42)&gt;=1,FALSE),IFERROR(VALUE(J42)&lt;=5,FALSE),LEFT(K42,1)="[",RIGHT(K42,1)="]"),"Complete","Check inputs")))</x:f>
        <x:v>Not started</x:v>
      </x:c>
    </x:row>
    <x:row r="43" ht="72" customHeight="1">
      <x:c r="A43" s="36" t="str">
        <x:v>8c0546b0-ce43-4a36-9d33-9f979e98d522</x:v>
      </x:c>
      <x:c r="B43" s="37" t="str">
        <x:v>1-Lyrics not getting loaded, 2-can't go back to or start song where to wanted. Pathetic update</x:v>
      </x:c>
      <x:c r="C43" s="38" t="n">
        <x:v>1</x:v>
      </x:c>
      <x:c r="D43" s="38" t="n">
        <x:v>1</x:v>
      </x:c>
      <x:c r="E43" s="36" t="str">
        <x:v>8.8.76.667</x:v>
      </x:c>
      <x:c r="F43" s="36" t="str">
        <x:v>2023-10-17 05:47:34</x:v>
      </x:c>
      <x:c r="G43" s="39" t="str"/>
      <x:c r="H43" s="39" t="str"/>
      <x:c r="I43" s="39"/>
      <x:c r="J43" s="39"/>
      <x:c r="K43" s="40" t="str"/>
      <x:c r="L43" s="40" t="str"/>
      <x:c r="M43" s="39" t="str"/>
      <x:c r="N43" s="41" t="str">
        <x:f>IF(COUNTBLANK(G43:M43)=7,"Not started",IF(COUNTBLANK(G43:M43)&gt;0,"Incomplete",IF(AND(ISNUMBER(FIND(L43,B43)),OR(M43="true",M43="false"),IFERROR(VALUE(I43)&gt;=-1,FALSE),IFERROR(VALUE(I43)&lt;=1,FALSE),IFERROR(VALUE(J43)&gt;=1,FALSE),IFERROR(VALUE(J43)&lt;=5,FALSE),LEFT(K43,1)="[",RIGHT(K43,1)="]"),"Complete","Check inputs")))</x:f>
        <x:v>Not started</x:v>
      </x:c>
    </x:row>
    <x:row r="44" ht="72" customHeight="1">
      <x:c r="A44" s="36" t="str">
        <x:v>a972945c-6601-4108-882a-afe986866a7b</x:v>
      </x:c>
      <x:c r="B44" s="37" t="str">
        <x:v>Phenomenal</x:v>
      </x:c>
      <x:c r="C44" s="38" t="n">
        <x:v>4</x:v>
      </x:c>
      <x:c r="D44" s="38" t="n">
        <x:v>0</x:v>
      </x:c>
      <x:c r="E44" s="36" t="str">
        <x:v>8.8.80.599</x:v>
      </x:c>
      <x:c r="F44" s="36" t="str">
        <x:v>2023-10-30 17:47:51</x:v>
      </x:c>
      <x:c r="G44" s="39" t="str"/>
      <x:c r="H44" s="39" t="str"/>
      <x:c r="I44" s="39"/>
      <x:c r="J44" s="39"/>
      <x:c r="K44" s="40" t="str"/>
      <x:c r="L44" s="40" t="str"/>
      <x:c r="M44" s="39" t="str"/>
      <x:c r="N44" s="41" t="str">
        <x:f>IF(COUNTBLANK(G44:M44)=7,"Not started",IF(COUNTBLANK(G44:M44)&gt;0,"Incomplete",IF(AND(ISNUMBER(FIND(L44,B44)),OR(M44="true",M44="false"),IFERROR(VALUE(I44)&gt;=-1,FALSE),IFERROR(VALUE(I44)&lt;=1,FALSE),IFERROR(VALUE(J44)&gt;=1,FALSE),IFERROR(VALUE(J44)&lt;=5,FALSE),LEFT(K44,1)="[",RIGHT(K44,1)="]"),"Complete","Check inputs")))</x:f>
        <x:v>Not started</x:v>
      </x:c>
    </x:row>
    <x:row r="45" ht="72" customHeight="1">
      <x:c r="A45" s="36" t="str">
        <x:v>8fd3dd72-5535-40f6-8779-1bd60892131e</x:v>
      </x:c>
      <x:c r="B45" s="37" t="str">
        <x:v>Good</x:v>
      </x:c>
      <x:c r="C45" s="38" t="n">
        <x:v>5</x:v>
      </x:c>
      <x:c r="D45" s="38" t="n">
        <x:v>0</x:v>
      </x:c>
      <x:c r="E45" s="36" t="str">
        <x:v>8.7.48.1062</x:v>
      </x:c>
      <x:c r="F45" s="36" t="str">
        <x:v>2022-07-26 10:24:26</x:v>
      </x:c>
      <x:c r="G45" s="39" t="str"/>
      <x:c r="H45" s="39" t="str"/>
      <x:c r="I45" s="39"/>
      <x:c r="J45" s="39"/>
      <x:c r="K45" s="40" t="str"/>
      <x:c r="L45" s="40" t="str"/>
      <x:c r="M45" s="39" t="str"/>
      <x:c r="N45" s="41" t="str">
        <x:f>IF(COUNTBLANK(G45:M45)=7,"Not started",IF(COUNTBLANK(G45:M45)&gt;0,"Incomplete",IF(AND(ISNUMBER(FIND(L45,B45)),OR(M45="true",M45="false"),IFERROR(VALUE(I45)&gt;=-1,FALSE),IFERROR(VALUE(I45)&lt;=1,FALSE),IFERROR(VALUE(J45)&gt;=1,FALSE),IFERROR(VALUE(J45)&lt;=5,FALSE),LEFT(K45,1)="[",RIGHT(K45,1)="]"),"Complete","Check inputs")))</x:f>
        <x:v>Not started</x:v>
      </x:c>
    </x:row>
    <x:row r="46" ht="72" customHeight="1">
      <x:c r="A46" s="36" t="str">
        <x:v>b58dd6f0-ad88-4319-b6db-58afb60c37c1</x:v>
      </x:c>
      <x:c r="B46" s="37" t="str">
        <x:v>The only thing Spotify lacks is the ability to organize saved 
albums/artists into collections. Would definitely deserve 5 stars if it 
included this feature.</x:v>
      </x:c>
      <x:c r="C46" s="38" t="n">
        <x:v>5</x:v>
      </x:c>
      <x:c r="D46" s="38" t="n">
        <x:v>0</x:v>
      </x:c>
      <x:c r="E46" s="36" t="str">
        <x:v>8.7.44.968</x:v>
      </x:c>
      <x:c r="F46" s="36" t="str">
        <x:v>2022-07-07 17:04:53</x:v>
      </x:c>
      <x:c r="G46" s="39" t="str"/>
      <x:c r="H46" s="39" t="str"/>
      <x:c r="I46" s="39"/>
      <x:c r="J46" s="39"/>
      <x:c r="K46" s="40" t="str"/>
      <x:c r="L46" s="40" t="str"/>
      <x:c r="M46" s="39" t="str"/>
      <x:c r="N46" s="41" t="str">
        <x:f>IF(COUNTBLANK(G46:M46)=7,"Not started",IF(COUNTBLANK(G46:M46)&gt;0,"Incomplete",IF(AND(ISNUMBER(FIND(L46,B46)),OR(M46="true",M46="false"),IFERROR(VALUE(I46)&gt;=-1,FALSE),IFERROR(VALUE(I46)&lt;=1,FALSE),IFERROR(VALUE(J46)&gt;=1,FALSE),IFERROR(VALUE(J46)&lt;=5,FALSE),LEFT(K46,1)="[",RIGHT(K46,1)="]"),"Complete","Check inputs")))</x:f>
        <x:v>Not started</x:v>
      </x:c>
    </x:row>
    <x:row r="47" ht="72" customHeight="1">
      <x:c r="A47" s="36" t="str">
        <x:v>1a41c7e1-a655-4c63-b4db-c22bdff18003</x:v>
      </x:c>
      <x:c r="B47" s="37" t="str">
        <x:v>Worst application 👎👎👎</x:v>
      </x:c>
      <x:c r="C47" s="38" t="n">
        <x:v>1</x:v>
      </x:c>
      <x:c r="D47" s="38" t="n">
        <x:v>0</x:v>
      </x:c>
      <x:c r="E47" s="36" t="str"/>
      <x:c r="F47" s="36" t="str">
        <x:v>2023-07-07 11:45:16</x:v>
      </x:c>
      <x:c r="G47" s="39" t="str"/>
      <x:c r="H47" s="39" t="str"/>
      <x:c r="I47" s="39"/>
      <x:c r="J47" s="39"/>
      <x:c r="K47" s="40" t="str"/>
      <x:c r="L47" s="40" t="str"/>
      <x:c r="M47" s="39" t="str"/>
      <x:c r="N47" s="41" t="str">
        <x:f>IF(COUNTBLANK(G47:M47)=7,"Not started",IF(COUNTBLANK(G47:M47)&gt;0,"Incomplete",IF(AND(ISNUMBER(FIND(L47,B47)),OR(M47="true",M47="false"),IFERROR(VALUE(I47)&gt;=-1,FALSE),IFERROR(VALUE(I47)&lt;=1,FALSE),IFERROR(VALUE(J47)&gt;=1,FALSE),IFERROR(VALUE(J47)&lt;=5,FALSE),LEFT(K47,1)="[",RIGHT(K47,1)="]"),"Complete","Check inputs")))</x:f>
        <x:v>Not started</x:v>
      </x:c>
    </x:row>
    <x:row r="48" ht="72" customHeight="1">
      <x:c r="A48" s="36" t="str">
        <x:v>dceb14e7-2df0-422f-bb2b-73d7c373159a</x:v>
      </x:c>
      <x:c r="B48" s="37" t="str">
        <x:v>I gave one star because I can't give any less than that. the new update is sooooooo annoying like I can't even play the songs that I like and I can't rewind songs what the heck</x:v>
      </x:c>
      <x:c r="C48" s="38" t="n">
        <x:v>1</x:v>
      </x:c>
      <x:c r="D48" s="38" t="n">
        <x:v>0</x:v>
      </x:c>
      <x:c r="E48" s="36" t="str"/>
      <x:c r="F48" s="36" t="str">
        <x:v>2023-10-18 09:38:13</x:v>
      </x:c>
      <x:c r="G48" s="39" t="str"/>
      <x:c r="H48" s="39" t="str"/>
      <x:c r="I48" s="39"/>
      <x:c r="J48" s="39"/>
      <x:c r="K48" s="40" t="str"/>
      <x:c r="L48" s="40" t="str"/>
      <x:c r="M48" s="39" t="str"/>
      <x:c r="N48" s="41" t="str">
        <x:f>IF(COUNTBLANK(G48:M48)=7,"Not started",IF(COUNTBLANK(G48:M48)&gt;0,"Incomplete",IF(AND(ISNUMBER(FIND(L48,B48)),OR(M48="true",M48="false"),IFERROR(VALUE(I48)&gt;=-1,FALSE),IFERROR(VALUE(I48)&lt;=1,FALSE),IFERROR(VALUE(J48)&gt;=1,FALSE),IFERROR(VALUE(J48)&lt;=5,FALSE),LEFT(K48,1)="[",RIGHT(K48,1)="]"),"Complete","Check inputs")))</x:f>
        <x:v>Not started</x:v>
      </x:c>
    </x:row>
    <x:row r="49" ht="72" customHeight="1">
      <x:c r="A49" s="36" t="str">
        <x:v>5fba12ea-4980-4f25-a129-f830a3974fd2</x:v>
      </x:c>
      <x:c r="B49" s="37" t="str">
        <x:v>I find Spotify very good, it finds and play whatever music you want and also adds songs that you might like, judging from your playlist if you choose to arrange one. 😊💃🎸🎶</x:v>
      </x:c>
      <x:c r="C49" s="38" t="n">
        <x:v>5</x:v>
      </x:c>
      <x:c r="D49" s="38" t="n">
        <x:v>0</x:v>
      </x:c>
      <x:c r="E49" s="36" t="str">
        <x:v>8.7.58.455</x:v>
      </x:c>
      <x:c r="F49" s="36" t="str">
        <x:v>2022-08-23 15:15:54</x:v>
      </x:c>
      <x:c r="G49" s="39" t="str"/>
      <x:c r="H49" s="39" t="str"/>
      <x:c r="I49" s="39"/>
      <x:c r="J49" s="39"/>
      <x:c r="K49" s="40" t="str"/>
      <x:c r="L49" s="40" t="str"/>
      <x:c r="M49" s="39" t="str"/>
      <x:c r="N49" s="41" t="str">
        <x:f>IF(COUNTBLANK(G49:M49)=7,"Not started",IF(COUNTBLANK(G49:M49)&gt;0,"Incomplete",IF(AND(ISNUMBER(FIND(L49,B49)),OR(M49="true",M49="false"),IFERROR(VALUE(I49)&gt;=-1,FALSE),IFERROR(VALUE(I49)&lt;=1,FALSE),IFERROR(VALUE(J49)&gt;=1,FALSE),IFERROR(VALUE(J49)&lt;=5,FALSE),LEFT(K49,1)="[",RIGHT(K49,1)="]"),"Complete","Check inputs")))</x:f>
        <x:v>Not started</x:v>
      </x:c>
    </x:row>
    <x:row r="50" ht="72" customHeight="1">
      <x:c r="A50" s="36" t="str">
        <x:v>ac4e860a-c042-49cc-90f3-189591c336ac</x:v>
      </x:c>
      <x:c r="B50" s="37" t="str">
        <x:v>paying for subscribing but unable to play in offline mode really?</x:v>
      </x:c>
      <x:c r="C50" s="38" t="n">
        <x:v>2</x:v>
      </x:c>
      <x:c r="D50" s="38" t="n">
        <x:v>0</x:v>
      </x:c>
      <x:c r="E50" s="36" t="str">
        <x:v>8.7.56.421</x:v>
      </x:c>
      <x:c r="F50" s="36" t="str">
        <x:v>2022-08-22 03:25:59</x:v>
      </x:c>
      <x:c r="G50" s="39" t="str"/>
      <x:c r="H50" s="39" t="str"/>
      <x:c r="I50" s="39"/>
      <x:c r="J50" s="39"/>
      <x:c r="K50" s="40" t="str"/>
      <x:c r="L50" s="40" t="str"/>
      <x:c r="M50" s="39" t="str"/>
      <x:c r="N50" s="41" t="str">
        <x:f>IF(COUNTBLANK(G50:M50)=7,"Not started",IF(COUNTBLANK(G50:M50)&gt;0,"Incomplete",IF(AND(ISNUMBER(FIND(L50,B50)),OR(M50="true",M50="false"),IFERROR(VALUE(I50)&gt;=-1,FALSE),IFERROR(VALUE(I50)&lt;=1,FALSE),IFERROR(VALUE(J50)&gt;=1,FALSE),IFERROR(VALUE(J50)&lt;=5,FALSE),LEFT(K50,1)="[",RIGHT(K50,1)="]"),"Complete","Check inputs")))</x:f>
        <x:v>Not started</x:v>
      </x:c>
    </x:row>
    <x:row r="51" ht="72" customHeight="1">
      <x:c r="A51" s="36" t="str">
        <x:v>9034d675-9582-49b6-a1c1-c4ddabf8baf1</x:v>
      </x:c>
      <x:c r="B51" s="37" t="str">
        <x:v>Worst app ever too much ad</x:v>
      </x:c>
      <x:c r="C51" s="38" t="n">
        <x:v>1</x:v>
      </x:c>
      <x:c r="D51" s="38" t="n">
        <x:v>0</x:v>
      </x:c>
      <x:c r="E51" s="36" t="str">
        <x:v>8.7.78.383</x:v>
      </x:c>
      <x:c r="F51" s="36" t="str">
        <x:v>2022-11-11 00:18:06</x:v>
      </x:c>
      <x:c r="G51" s="39" t="str"/>
      <x:c r="H51" s="39" t="str"/>
      <x:c r="I51" s="39"/>
      <x:c r="J51" s="39"/>
      <x:c r="K51" s="40" t="str"/>
      <x:c r="L51" s="40" t="str"/>
      <x:c r="M51" s="39" t="str"/>
      <x:c r="N51" s="41" t="str">
        <x:f>IF(COUNTBLANK(G51:M51)=7,"Not started",IF(COUNTBLANK(G51:M51)&gt;0,"Incomplete",IF(AND(ISNUMBER(FIND(L51,B51)),OR(M51="true",M51="false"),IFERROR(VALUE(I51)&gt;=-1,FALSE),IFERROR(VALUE(I51)&lt;=1,FALSE),IFERROR(VALUE(J51)&gt;=1,FALSE),IFERROR(VALUE(J51)&lt;=5,FALSE),LEFT(K51,1)="[",RIGHT(K51,1)="]"),"Complete","Check inputs")))</x:f>
        <x:v>Not started</x:v>
      </x:c>
    </x:row>
    <x:row r="52" ht="72" customHeight="1">
      <x:c r="A52" s="36" t="str">
        <x:v>d2f3874f-d15d-4a2f-bb97-4f1213defa46</x:v>
      </x:c>
      <x:c r="B52" s="37" t="str">
        <x:v>Too expensive and the free version is pretty much unusable with constant ads... Every two or three songs.. Forget it</x:v>
      </x:c>
      <x:c r="C52" s="38" t="n">
        <x:v>1</x:v>
      </x:c>
      <x:c r="D52" s="38" t="n">
        <x:v>4</x:v>
      </x:c>
      <x:c r="E52" s="36" t="str">
        <x:v>8.8.54.481</x:v>
      </x:c>
      <x:c r="F52" s="36" t="str">
        <x:v>2023-09-22 23:48:41</x:v>
      </x:c>
      <x:c r="G52" s="39" t="str"/>
      <x:c r="H52" s="39" t="str"/>
      <x:c r="I52" s="39"/>
      <x:c r="J52" s="39"/>
      <x:c r="K52" s="40" t="str"/>
      <x:c r="L52" s="40" t="str"/>
      <x:c r="M52" s="39" t="str"/>
      <x:c r="N52" s="41" t="str">
        <x:f>IF(COUNTBLANK(G52:M52)=7,"Not started",IF(COUNTBLANK(G52:M52)&gt;0,"Incomplete",IF(AND(ISNUMBER(FIND(L52,B52)),OR(M52="true",M52="false"),IFERROR(VALUE(I52)&gt;=-1,FALSE),IFERROR(VALUE(I52)&lt;=1,FALSE),IFERROR(VALUE(J52)&gt;=1,FALSE),IFERROR(VALUE(J52)&lt;=5,FALSE),LEFT(K52,1)="[",RIGHT(K52,1)="]"),"Complete","Check inputs")))</x:f>
        <x:v>Not started</x:v>
      </x:c>
    </x:row>
    <x:row r="53" ht="72" customHeight="1">
      <x:c r="A53" s="36" t="str">
        <x:v>99b93e31-9f15-4daa-88ac-349ab0419c48</x:v>
      </x:c>
      <x:c r="B53" s="37" t="str">
        <x:v>This update very bad for everyone.old Spotify. we all want.</x:v>
      </x:c>
      <x:c r="C53" s="38" t="n">
        <x:v>1</x:v>
      </x:c>
      <x:c r="D53" s="38" t="n">
        <x:v>1</x:v>
      </x:c>
      <x:c r="E53" s="36" t="str"/>
      <x:c r="F53" s="36" t="str">
        <x:v>2023-04-13 12:03:21</x:v>
      </x:c>
      <x:c r="G53" s="39" t="str"/>
      <x:c r="H53" s="39" t="str"/>
      <x:c r="I53" s="39"/>
      <x:c r="J53" s="39"/>
      <x:c r="K53" s="40" t="str"/>
      <x:c r="L53" s="40" t="str"/>
      <x:c r="M53" s="39" t="str"/>
      <x:c r="N53" s="41" t="str">
        <x:f>IF(COUNTBLANK(G53:M53)=7,"Not started",IF(COUNTBLANK(G53:M53)&gt;0,"Incomplete",IF(AND(ISNUMBER(FIND(L53,B53)),OR(M53="true",M53="false"),IFERROR(VALUE(I53)&gt;=-1,FALSE),IFERROR(VALUE(I53)&lt;=1,FALSE),IFERROR(VALUE(J53)&gt;=1,FALSE),IFERROR(VALUE(J53)&lt;=5,FALSE),LEFT(K53,1)="[",RIGHT(K53,1)="]"),"Complete","Check inputs")))</x:f>
        <x:v>Not started</x:v>
      </x:c>
    </x:row>
    <x:row r="54" ht="72" customHeight="1">
      <x:c r="A54" s="36" t="str">
        <x:v>ca63dfbe-7120-4e18-af6e-8ea786cd157d</x:v>
      </x:c>
      <x:c r="B54" s="37" t="str">
        <x:v>I'm loving the experience with the app</x:v>
      </x:c>
      <x:c r="C54" s="38" t="n">
        <x:v>4</x:v>
      </x:c>
      <x:c r="D54" s="38" t="n">
        <x:v>0</x:v>
      </x:c>
      <x:c r="E54" s="36" t="str">
        <x:v>8.8.74.652</x:v>
      </x:c>
      <x:c r="F54" s="36" t="str">
        <x:v>2023-10-07 05:32:37</x:v>
      </x:c>
      <x:c r="G54" s="39" t="str"/>
      <x:c r="H54" s="39" t="str"/>
      <x:c r="I54" s="39"/>
      <x:c r="J54" s="39"/>
      <x:c r="K54" s="40" t="str"/>
      <x:c r="L54" s="40" t="str"/>
      <x:c r="M54" s="39" t="str"/>
      <x:c r="N54" s="41" t="str">
        <x:f>IF(COUNTBLANK(G54:M54)=7,"Not started",IF(COUNTBLANK(G54:M54)&gt;0,"Incomplete",IF(AND(ISNUMBER(FIND(L54,B54)),OR(M54="true",M54="false"),IFERROR(VALUE(I54)&gt;=-1,FALSE),IFERROR(VALUE(I54)&lt;=1,FALSE),IFERROR(VALUE(J54)&gt;=1,FALSE),IFERROR(VALUE(J54)&lt;=5,FALSE),LEFT(K54,1)="[",RIGHT(K54,1)="]"),"Complete","Check inputs")))</x:f>
        <x:v>Not started</x:v>
      </x:c>
    </x:row>
    <x:row r="55" ht="72" customHeight="1">
      <x:c r="A55" s="36" t="str">
        <x:v>083811c7-d469-499b-9bef-5b9fb096653d</x:v>
      </x:c>
      <x:c r="B55" s="37" t="str">
        <x:v>best app ever</x:v>
      </x:c>
      <x:c r="C55" s="38" t="n">
        <x:v>3</x:v>
      </x:c>
      <x:c r="D55" s="38" t="n">
        <x:v>0</x:v>
      </x:c>
      <x:c r="E55" s="36" t="str">
        <x:v>8.8.82.634</x:v>
      </x:c>
      <x:c r="F55" s="36" t="str">
        <x:v>2023-11-15 13:31:03</x:v>
      </x:c>
      <x:c r="G55" s="39" t="str"/>
      <x:c r="H55" s="39" t="str"/>
      <x:c r="I55" s="39"/>
      <x:c r="J55" s="39"/>
      <x:c r="K55" s="40" t="str"/>
      <x:c r="L55" s="40" t="str"/>
      <x:c r="M55" s="39" t="str"/>
      <x:c r="N55" s="41" t="str">
        <x:f>IF(COUNTBLANK(G55:M55)=7,"Not started",IF(COUNTBLANK(G55:M55)&gt;0,"Incomplete",IF(AND(ISNUMBER(FIND(L55,B55)),OR(M55="true",M55="false"),IFERROR(VALUE(I55)&gt;=-1,FALSE),IFERROR(VALUE(I55)&lt;=1,FALSE),IFERROR(VALUE(J55)&gt;=1,FALSE),IFERROR(VALUE(J55)&lt;=5,FALSE),LEFT(K55,1)="[",RIGHT(K55,1)="]"),"Complete","Check inputs")))</x:f>
        <x:v>Not started</x:v>
      </x:c>
    </x:row>
  </x:sheetData>
  <x:conditionalFormatting sqref="N6:N55">
    <x:cfRule type="expression" dxfId="0" priority="1">
      <x:formula>$N6="Complete"</x:formula>
    </x:cfRule>
    <x:cfRule type="expression" dxfId="1" priority="2">
      <x:formula>$N6="Incomplete"</x:formula>
    </x:cfRule>
    <x:cfRule type="expression" dxfId="2" priority="3">
      <x:formula>$N6="Check inputs"</x:formula>
    </x:cfRule>
  </x:conditionalFormatting>
  <x:conditionalFormatting sqref="H3:H3">
    <x:cfRule type="expression" dxfId="3" priority="4">
      <x:formula>$H$3="YES"</x:formula>
    </x:cfRule>
  </x:conditionalFormatting>
  <x:dataValidations count="5">
    <x:dataValidation type="list" sqref="G6:G55">
      <x:formula1>"access,usability,playback,downloads,catalog,billing,support,other"</x:formula1>
    </x:dataValidation>
    <x:dataValidation type="list" sqref="H6:H55">
      <x:formula1>"cancellation,complaint,request,praise,unclear"</x:formula1>
    </x:dataValidation>
    <x:dataValidation type="list" sqref="I6:I55">
      <x:formula1>"-1.0,-0.9,-0.8,-0.7,-0.6,-0.5,-0.4,-0.3,-0.2,-0.1,0.0,0.1,0.2,0.3,0.4,0.5,0.6,0.7,0.8,0.9,1.0"</x:formula1>
    </x:dataValidation>
    <x:dataValidation type="list" sqref="J6:J55">
      <x:formula1>"1,2,3,4,5"</x:formula1>
    </x:dataValidation>
    <x:dataValidation type="list" sqref="M6:M55">
      <x:formula1>"true,false"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8" hidden="0" customWidth="1"/>
    <x:col min="3" max="3" width="52" hidden="0" customWidth="1"/>
    <x:col min="4" max="4" width="36" hidden="0" customWidth="1"/>
  </x:cols>
  <x:sheetData>
    <x:row r="1">
      <x:c r="A1" s="2" t="str">
        <x:v>Golden 50 human labeling guide</x:v>
      </x:c>
      <x:c r="B1" s="1"/>
      <x:c r="C1" s="1"/>
      <x:c r="D1" s="1"/>
    </x:row>
    <x:row r="2" ht="34" customHeight="1">
      <x:c r="A2" s="42" t="str">
        <x:v>目的</x:v>
      </x:c>
      <x:c r="B2" s="43" t="str">
        <x:v>この50件はモデル品質を測る独立した正解データです。ラベルは自分で判断し、予測結果を先に見ないでください。</x:v>
      </x:c>
      <x:c r="C2" s="3"/>
      <x:c r="D2" s="3"/>
    </x:row>
    <x:row r="4">
      <x:c r="A4" s="66" t="str">
        <x:v>手順</x:v>
      </x:c>
      <x:c r="B4" s="67" t="str">
        <x:v>操作</x:v>
      </x:c>
      <x:c r="C4" s="67" t="str">
        <x:v>理由</x:v>
      </x:c>
      <x:c r="D4" s="67" t="str">
        <x:v>完了条件</x:v>
      </x:c>
    </x:row>
    <x:row r="5">
      <x:c r="A5" s="68" t="n">
        <x:v>1</x:v>
      </x:c>
      <x:c r="B5" s="69" t="str">
        <x:v>Golden 50シートでreview_textだけを読む</x:v>
      </x:c>
      <x:c r="C5" s="69" t="str">
        <x:v>星・likes・versionを根拠にラベルを推測しない</x:v>
      </x:c>
      <x:c r="D5" s="70" t="str">
        <x:v>50件すべてを確認</x:v>
      </x:c>
    </x:row>
    <x:row r="6">
      <x:c r="A6" s="68" t="n">
        <x:v>2</x:v>
      </x:c>
      <x:c r="B6" s="69" t="str">
        <x:v>黄色の7項目を人手で入力する</x:v>
      </x:c>
      <x:c r="C6" s="69" t="str">
        <x:v>人間の正解ラベルを作る</x:v>
      </x:c>
      <x:c r="D6" s="70" t="str">
        <x:v>空欄なし</x:v>
      </x:c>
    </x:row>
    <x:row r="7">
      <x:c r="A7" s="68" t="n">
        <x:v>3</x:v>
      </x:c>
      <x:c r="B7" s="69" t="str">
        <x:v>evidence_quoteは本文からそのままコピーする</x:v>
      </x:c>
      <x:c r="C7" s="69" t="str">
        <x:v>完全一致の部分文字列が必要</x:v>
      </x:c>
      <x:c r="D7" s="70" t="str">
        <x:v>row_checkがComplete</x:v>
      </x:c>
    </x:row>
    <x:row r="8">
      <x:c r="A8" s="68" t="n">
        <x:v>4</x:v>
      </x:c>
      <x:c r="B8" s="69" t="str">
        <x:v>曖昧または影響不明ならneeds_review=true</x:v>
      </x:c>
      <x:c r="C8" s="69" t="str">
        <x:v>不足情報を作り足さない</x:v>
      </x:c>
      <x:c r="D8" s="70" t="str">
        <x:v>true/falseを選択</x:v>
      </x:c>
    </x:row>
    <x:row r="9">
      <x:c r="A9" s="68" t="n">
        <x:v>5</x:v>
      </x:c>
      <x:c r="B9" s="69" t="str">
        <x:v>entitiesはJSON配列で入力する</x:v>
      </x:c>
      <x:c r="C9" s="69" t="str">
        <x:v>明示された機能・端末・プラットフォーム・コンテンツだけ</x:v>
      </x:c>
      <x:c r="D9" s="70" t="str">
        <x:v>例: [] または ["lyrics"]</x:v>
      </x:c>
    </x:row>
    <x:row r="10">
      <x:c r="A10" s="68" t="n">
        <x:v>6</x:v>
      </x:c>
      <x:c r="B10" s="69" t="str">
        <x:v>50/50になったら保存してCodexへ戻す</x:v>
      </x:c>
      <x:c r="C10" s="69" t="str">
        <x:v>予測は保存後に別工程で作成・比較する</x:v>
      </x:c>
      <x:c r="D10" s="70" t="str">
        <x:v>Ready for scoring = YES</x:v>
      </x:c>
    </x:row>
    <x:row r="11">
      <x:c r="A11" s="71"/>
      <x:c r="B11" s="71"/>
      <x:c r="C11" s="71"/>
      <x:c r="D11" s="72"/>
    </x:row>
    <x:row r="12">
      <x:c r="A12" s="73" t="str">
        <x:v>項目</x:v>
      </x:c>
      <x:c r="B12" s="74" t="str">
        <x:v>使用できる値</x:v>
      </x:c>
      <x:c r="C12" s="74" t="str">
        <x:v>判断基準</x:v>
      </x:c>
      <x:c r="D12" s="74" t="str">
        <x:v>例</x:v>
      </x:c>
    </x:row>
    <x:row r="13">
      <x:c r="A13" s="75" t="str">
        <x:v>topic</x:v>
      </x:c>
      <x:c r="B13" s="69" t="str">
        <x:v>access</x:v>
      </x:c>
      <x:c r="C13" s="69" t="str">
        <x:v>login、signup、password、account access</x:v>
      </x:c>
      <x:c r="D13" s="70" t="str">
        <x:v>I cannot sign in</x:v>
      </x:c>
    </x:row>
    <x:row r="14">
      <x:c r="A14" s="75" t="str">
        <x:v>topic</x:v>
      </x:c>
      <x:c r="B14" s="69" t="str">
        <x:v>usability</x:v>
      </x:c>
      <x:c r="C14" s="69" t="str">
        <x:v>navigation、controls、layout、queue、playlist、ads</x:v>
      </x:c>
      <x:c r="D14" s="70" t="str">
        <x:v>Queue controls are hard to find</x:v>
      </x:c>
    </x:row>
    <x:row r="15">
      <x:c r="A15" s="75" t="str">
        <x:v>topic</x:v>
      </x:c>
      <x:c r="B15" s="69" t="str">
        <x:v>playback</x:v>
      </x:c>
      <x:c r="C15" s="69" t="str">
        <x:v>再生失敗、crash、lag、connection、audio、resource use</x:v>
      </x:c>
      <x:c r="D15" s="70" t="str">
        <x:v>Every song stops</x:v>
      </x:c>
    </x:row>
    <x:row r="16">
      <x:c r="A16" s="75" t="str">
        <x:v>topic</x:v>
      </x:c>
      <x:c r="B16" s="69" t="str">
        <x:v>downloads</x:v>
      </x:c>
      <x:c r="C16" s="69" t="str">
        <x:v>downloads、saved music、offline、消えたdownload</x:v>
      </x:c>
      <x:c r="D16" s="70" t="str">
        <x:v>Downloaded songs vanished</x:v>
      </x:c>
    </x:row>
    <x:row r="17">
      <x:c r="A17" s="75" t="str">
        <x:v>topic</x:v>
      </x:c>
      <x:c r="B17" s="69" t="str">
        <x:v>catalog</x:v>
      </x:c>
      <x:c r="C17" s="69" t="str">
        <x:v>missing content、search、discovery、recommendations、lyrics</x:v>
      </x:c>
      <x:c r="D17" s="70" t="str">
        <x:v>Lyrics are missing</x:v>
      </x:c>
    </x:row>
    <x:row r="18">
      <x:c r="A18" s="75" t="str">
        <x:v>topic</x:v>
      </x:c>
      <x:c r="B18" s="69" t="str">
        <x:v>billing</x:v>
      </x:c>
      <x:c r="C18" s="69" t="str">
        <x:v>price、charge、subscription、paywall、premium entitlement</x:v>
      </x:c>
      <x:c r="D18" s="70" t="str">
        <x:v>Paid but Premium did not activate</x:v>
      </x:c>
    </x:row>
    <x:row r="19">
      <x:c r="A19" s="75" t="str">
        <x:v>topic</x:v>
      </x:c>
      <x:c r="B19" s="69" t="str">
        <x:v>support</x:v>
      </x:c>
      <x:c r="C19" s="69" t="str">
        <x:v>supportへの連絡または対応</x:v>
      </x:c>
      <x:c r="D19" s="70" t="str">
        <x:v>Support has not answered</x:v>
      </x:c>
    </x:row>
    <x:row r="20">
      <x:c r="A20" s="75" t="str">
        <x:v>topic</x:v>
      </x:c>
      <x:c r="B20" s="69" t="str">
        <x:v>other</x:v>
      </x:c>
      <x:c r="C20" s="69" t="str">
        <x:v>一般的な賞賛・不満、無関係、特定topicなし</x:v>
      </x:c>
      <x:c r="D20" s="70" t="str">
        <x:v>Great app</x:v>
      </x:c>
    </x:row>
    <x:row r="21">
      <x:c r="A21" s="75" t="str">
        <x:v>intent</x:v>
      </x:c>
      <x:c r="B21" s="69" t="str">
        <x:v>cancellation</x:v>
      </x:c>
      <x:c r="C21" s="69" t="str">
        <x:v>明示的にleave、uninstall、cancel、またはその予告</x:v>
      </x:c>
      <x:c r="D21" s="70" t="str">
        <x:v>I am cancelling</x:v>
      </x:c>
    </x:row>
    <x:row r="22">
      <x:c r="A22" s="75" t="str">
        <x:v>intent</x:v>
      </x:c>
      <x:c r="B22" s="69" t="str">
        <x:v>complaint</x:v>
      </x:c>
      <x:c r="C22" s="69" t="str">
        <x:v>否定的な経験。賞賛と混在してもcomplaint</x:v>
      </x:c>
      <x:c r="D22" s="70" t="str">
        <x:v>Playback keeps stopping</x:v>
      </x:c>
    </x:row>
    <x:row r="23">
      <x:c r="A23" s="75" t="str">
        <x:v>intent</x:v>
      </x:c>
      <x:c r="B23" s="69" t="str">
        <x:v>request</x:v>
      </x:c>
      <x:c r="C23" s="69" t="str">
        <x:v>不具合報告なしの改善要望</x:v>
      </x:c>
      <x:c r="D23" s="70" t="str">
        <x:v>Please add a sleep timer</x:v>
      </x:c>
    </x:row>
    <x:row r="24">
      <x:c r="A24" s="75" t="str">
        <x:v>intent</x:v>
      </x:c>
      <x:c r="B24" s="69" t="str">
        <x:v>praise</x:v>
      </x:c>
      <x:c r="C24" s="69" t="str">
        <x:v>上位intentのない肯定的経験</x:v>
      </x:c>
      <x:c r="D24" s="70" t="str">
        <x:v>I love this app</x:v>
      </x:c>
    </x:row>
    <x:row r="25">
      <x:c r="A25" s="75" t="str">
        <x:v>intent</x:v>
      </x:c>
      <x:c r="B25" s="69" t="str">
        <x:v>unclear</x:v>
      </x:c>
      <x:c r="C25" s="69" t="str">
        <x:v>無関係・意味不明・裏付け不能</x:v>
      </x:c>
      <x:c r="D25" s="70" t="str">
        <x:v>Unsupported slogan</x:v>
      </x:c>
    </x:row>
    <x:row r="26">
      <x:c r="A26" s="75" t="str">
        <x:v>severity</x:v>
      </x:c>
      <x:c r="B26" s="69" t="str">
        <x:v>1</x:v>
      </x:c>
      <x:c r="C26" s="69" t="str">
        <x:v>問題なし、賞賛、中立・不明、純粋な機能要望</x:v>
      </x:c>
      <x:c r="D26" s="70" t="str">
        <x:v>Request only</x:v>
      </x:c>
    </x:row>
    <x:row r="27">
      <x:c r="A27" s="75" t="str">
        <x:v>severity</x:v>
      </x:c>
      <x:c r="B27" s="69" t="str">
        <x:v>2</x:v>
      </x:c>
      <x:c r="C27" s="69" t="str">
        <x:v>機能損失のない軽い不満・一般的批判・見た目の問題</x:v>
      </x:c>
      <x:c r="D27" s="70" t="str">
        <x:v>Minor annoyance</x:v>
      </x:c>
    </x:row>
    <x:row r="28">
      <x:c r="A28" s="75" t="str">
        <x:v>severity</x:v>
      </x:c>
      <x:c r="B28" s="69" t="str">
        <x:v>3</x:v>
      </x:c>
      <x:c r="C28" s="69" t="str">
        <x:v>機能が低下・制限されるが一部利用または回避策あり</x:v>
      </x:c>
      <x:c r="D28" s="70" t="str">
        <x:v>Works after retry</x:v>
      </x:c>
    </x:row>
    <x:row r="29">
      <x:c r="A29" s="75" t="str">
        <x:v>severity</x:v>
      </x:c>
      <x:c r="B29" s="69" t="str">
        <x:v>4</x:v>
      </x:c>
      <x:c r="C29" s="69" t="str">
        <x:v>loginやmusic playbackなど主要タスクが明確に不可能</x:v>
      </x:c>
      <x:c r="D29" s="70" t="str">
        <x:v>Cannot play any song</x:v>
      </x:c>
    </x:row>
    <x:row r="30">
      <x:c r="A30" s="75" t="str">
        <x:v>severity</x:v>
      </x:c>
      <x:c r="B30" s="69" t="str">
        <x:v>5</x:v>
      </x:c>
      <x:c r="C30" s="69" t="str">
        <x:v>明示的で重大な金銭・privacy・data被害</x:v>
      </x:c>
      <x:c r="D30" s="70" t="str">
        <x:v>Unauthorized charge</x:v>
      </x:c>
    </x:row>
    <x:row r="31">
      <x:c r="A31" s="75" t="str">
        <x:v>sentiment</x:v>
      </x:c>
      <x:c r="B31" s="69" t="str">
        <x:v>-1.0～1.0（0.1刻み）</x:v>
      </x:c>
      <x:c r="C31" s="69" t="str">
        <x:v>本文だけから評価。負=-1.0、中立=0.0、正=1.0</x:v>
      </x:c>
      <x:c r="D31" s="70" t="str">
        <x:v>-0.6</x:v>
      </x:c>
    </x:row>
    <x:row r="32">
      <x:c r="A32" s="75" t="str">
        <x:v>entities</x:v>
      </x:c>
      <x:c r="B32" s="69" t="str">
        <x:v>JSON array</x:v>
      </x:c>
      <x:c r="C32" s="69" t="str">
        <x:v>本文に明示された機能・端末・platform・contentだけ</x:v>
      </x:c>
      <x:c r="D32" s="70" t="str">
        <x:v>[] / ["lyrics"]</x:v>
      </x:c>
    </x:row>
    <x:row r="33">
      <x:c r="A33" s="75" t="str">
        <x:v>evidence_quote</x:v>
      </x:c>
      <x:c r="B33" s="69" t="str">
        <x:v>本文の完全一致部分</x:v>
      </x:c>
      <x:c r="C33" s="69" t="str">
        <x:v>選択したラベルを支える箇所。短文は全文可</x:v>
      </x:c>
      <x:c r="D33" s="70" t="str">
        <x:v>Cannot sign in</x:v>
      </x:c>
    </x:row>
    <x:row r="34">
      <x:c r="A34" s="75" t="str">
        <x:v>needs_review</x:v>
      </x:c>
      <x:c r="B34" s="69" t="str">
        <x:v>true / false</x:v>
      </x:c>
      <x:c r="C34" s="69" t="str">
        <x:v>曖昧、影響不明、判断に不足情報がある場合true</x:v>
      </x:c>
      <x:c r="D34" s="70" t="str">
        <x:v>true</x:v>
      </x:c>
    </x:row>
    <x:row r="35">
      <x:c r="A35" s="71"/>
      <x:c r="B35" s="71"/>
      <x:c r="C35" s="71"/>
      <x:c r="D35" s="72"/>
    </x:row>
    <x:row r="36">
      <x:c r="A36" s="76" t="str">
        <x:v>重要</x:v>
      </x:c>
      <x:c r="B36" s="76" t="str">
        <x:v>同じレビューに複数の問題がある場合、最もseverityが高い具体的問題をtopicにする。同点なら最初に書かれた具体的問題を選ぶ。</x:v>
      </x:c>
      <x:c r="C36" s="76" t="str">
        <x:v>Intent precedence: cancellation &gt; complaint &gt; request &gt; praise &gt; unclear</x:v>
      </x:c>
      <x:c r="D36" s="77" t="str">
        <x:v>Stars、怒り、価格、crash、cancellationだけではseverityを引き上げない。</x:v>
      </x:c>
    </x:row>
    <x:row r="37">
      <x:c r="A37" s="71"/>
      <x:c r="B37" s="71"/>
      <x:c r="C37" s="71"/>
      <x:c r="D37" s="72"/>
    </x:row>
    <x:row r="38">
      <x:c r="A38" s="78" t="str">
        <x:v>Source files</x:v>
      </x:c>
      <x:c r="B38" s="79" t="str">
        <x:v>evals/golden_50_to_label.csv</x:v>
      </x:c>
      <x:c r="C38" s="79" t="str">
        <x:v>config/labels.md</x:v>
      </x:c>
      <x:c r="D38" s="80" t="str">
        <x:v>docs/source_spec/GRADING_CONTRACT.md</x:v>
      </x:c>
    </x:row>
  </x:sheetData>
  <x:pageMargins left="0.7" right="0.7" top="0.75" bottom="0.75" header="0.3" footer="0.3"/>
</x:worksheet>
</file>